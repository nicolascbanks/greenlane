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hgoods-my.sharepoint.com/personal/nico_banks_greenlane_com/Documents/D365/GNLN ERP Archive/"/>
    </mc:Choice>
  </mc:AlternateContent>
  <xr:revisionPtr revIDLastSave="36" documentId="11_F6E633820BF57C081061005C784339F0210203B1" xr6:coauthVersionLast="47" xr6:coauthVersionMax="47" xr10:uidLastSave="{9E6BF42C-E0A8-4B21-8E4C-02C141CDE88A}"/>
  <bookViews>
    <workbookView xWindow="-120" yWindow="-120" windowWidth="29040" windowHeight="15720" activeTab="2" xr2:uid="{00000000-000D-0000-FFFF-FFFF00000000}"/>
  </bookViews>
  <sheets>
    <sheet name="sheet1" sheetId="1" r:id="rId1"/>
    <sheet name="Sheet2" sheetId="2" r:id="rId2"/>
    <sheet name="Sheet3" sheetId="3" r:id="rId3"/>
  </sheets>
  <externalReferences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3" l="1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1" i="3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2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" i="2"/>
</calcChain>
</file>

<file path=xl/sharedStrings.xml><?xml version="1.0" encoding="utf-8"?>
<sst xmlns="http://schemas.openxmlformats.org/spreadsheetml/2006/main" count="275" uniqueCount="175">
  <si>
    <t>TableName</t>
  </si>
  <si>
    <t>BusinessDocumentTaxTransactionStaging</t>
  </si>
  <si>
    <t>CurrencyStaging</t>
  </si>
  <si>
    <t>CustCustomerGroupEntityStaging</t>
  </si>
  <si>
    <t>CustCustomerV3Staging</t>
  </si>
  <si>
    <t>CustElectronicAddressStaging</t>
  </si>
  <si>
    <t>CustInvoiceJournalHeaderStaging</t>
  </si>
  <si>
    <t>CustInvoiceJournalLineStaging</t>
  </si>
  <si>
    <t>CustInvoicePackingSlipQuantityMatchStaging</t>
  </si>
  <si>
    <t>CustInvoiceTransStaging</t>
  </si>
  <si>
    <t>CustomerAgingDataStorageStaging</t>
  </si>
  <si>
    <t>CustomerPaymentJournalLineStaging</t>
  </si>
  <si>
    <t>CustPackingSlipTransStaging</t>
  </si>
  <si>
    <t>DimensionAttributeStaging</t>
  </si>
  <si>
    <t>DirPartyContactV3Staging</t>
  </si>
  <si>
    <t>DirPartyV2Staging</t>
  </si>
  <si>
    <t>EcoResEveryProductStaging</t>
  </si>
  <si>
    <t>EcoResProductBarcodeV2Staging</t>
  </si>
  <si>
    <t>EcoResProductBarcodeV3Staging</t>
  </si>
  <si>
    <t>EcoResProductGlobalTradeItemNumberAssignmentV2Staging</t>
  </si>
  <si>
    <t>EcoResProductTranslationStaging</t>
  </si>
  <si>
    <t>EcoResProductV2Staging</t>
  </si>
  <si>
    <t>EcoResProductVariantV2Staging</t>
  </si>
  <si>
    <t>EcoResReleasedProductV2Staging</t>
  </si>
  <si>
    <t>EcoResReleasedProductVariantV2Staging</t>
  </si>
  <si>
    <t>ExchangeRateEntityStaging</t>
  </si>
  <si>
    <t>FinancialDimensionValueEntityStaging</t>
  </si>
  <si>
    <t>FiscalPeriodStaging</t>
  </si>
  <si>
    <t>FreeTextInvoiceStaging</t>
  </si>
  <si>
    <t>GeneralJournalAccountEntryReportingStaging</t>
  </si>
  <si>
    <t>GeneralJournalAccountEntryStaging</t>
  </si>
  <si>
    <t>GNLNCustomerInvoiceHeaderChargeStaging</t>
  </si>
  <si>
    <t>GNLNCustTransStaging</t>
  </si>
  <si>
    <t>GNLNLegalRestrictions_FDD031Staging</t>
  </si>
  <si>
    <t>GNLNProductRestrictionTypes_FDD031Staging</t>
  </si>
  <si>
    <t>GNLNRestrictionTypes_FDD031Staging</t>
  </si>
  <si>
    <t>HcmEmployeeV2Staging</t>
  </si>
  <si>
    <t>HcmWorkerStaging</t>
  </si>
  <si>
    <t>InventDimMergeITStaging</t>
  </si>
  <si>
    <t>InventInventoryAdjustmentJournalEntryV2Staging</t>
  </si>
  <si>
    <t>InventInventoryMovementJournalEntryV3Staging</t>
  </si>
  <si>
    <t>InventItemPriceStaging</t>
  </si>
  <si>
    <t>InventItemPriceV2Staging</t>
  </si>
  <si>
    <t>InventorySiteOnHandV2Staging</t>
  </si>
  <si>
    <t>InventProductGroupStaging</t>
  </si>
  <si>
    <t>InventTransferOrderHeaderStaging</t>
  </si>
  <si>
    <t>InventTransferOrderLineStaging</t>
  </si>
  <si>
    <t>InventTransMergeITStaging</t>
  </si>
  <si>
    <t>InventTransOriginMergeITStaging</t>
  </si>
  <si>
    <t>InventWarehouseInventoryStatusOnHandV2Staging</t>
  </si>
  <si>
    <t>InventWarehouseOnHandV2Staging</t>
  </si>
  <si>
    <t>InventWarehouseStaging</t>
  </si>
  <si>
    <t>ItemThresholdSetupBySalesChannel_GNLNStaging</t>
  </si>
  <si>
    <t>MainAccountStaging</t>
  </si>
  <si>
    <t>MIT_AccountingDistributionStaging</t>
  </si>
  <si>
    <t>MIT_DimensionAttributeLevelValueStaging</t>
  </si>
  <si>
    <t>MIT_DIMENSIONATTRIBUTEVALUECOMBINATIONStaging</t>
  </si>
  <si>
    <t>MIT_DIMENSIONATTRIBUTEVALUEGROUPCOMBINATIONStaging</t>
  </si>
  <si>
    <t>MIT_DimensionAttributeValueGroupStaging</t>
  </si>
  <si>
    <t>MIT_DIMENSIONATTRIBUTEVALUESETITEMVIEWStaging</t>
  </si>
  <si>
    <t>MIT_DIMENSIONATTRIBUTEVALUESETStaging</t>
  </si>
  <si>
    <t>MIT_DIMENSIONHIERARCHYLEVELStaging</t>
  </si>
  <si>
    <t>MIT_DIMENSIONHIERARCHYLEVELVIEWStaging</t>
  </si>
  <si>
    <t>MIT_DIMENSIONHIERARCHYStaging</t>
  </si>
  <si>
    <t>MIT_GeneralJournalEntryStaging</t>
  </si>
  <si>
    <t>MIT_InventDimCombinationStaging</t>
  </si>
  <si>
    <t>NmbCANHarmonizeStaging</t>
  </si>
  <si>
    <t>NmbINTHarmonizeStaging</t>
  </si>
  <si>
    <t>NmbUSAHarmonizeStaging</t>
  </si>
  <si>
    <t>NmbWHSHarmonizedStaging</t>
  </si>
  <si>
    <t>OMDepartmentV2Staging</t>
  </si>
  <si>
    <t>OMLegalStaging</t>
  </si>
  <si>
    <t>PurchPurchaseOrderHeaderV2Staging</t>
  </si>
  <si>
    <t>PurchPurchaseOrderLineV2Staging</t>
  </si>
  <si>
    <t>ReturnOrderHeaderStaging</t>
  </si>
  <si>
    <t>ReturnOrderLineStaging</t>
  </si>
  <si>
    <t>SalesChargeStaging</t>
  </si>
  <si>
    <t>SalesInvoiceHeaderV2Staging</t>
  </si>
  <si>
    <t>SalesInvoiceLineV3Staging</t>
  </si>
  <si>
    <t>SalesLineStaging</t>
  </si>
  <si>
    <t>SalesOpenSalesPriceJournalLineV2Staging</t>
  </si>
  <si>
    <t>SalesOrderHeaderChargeV2Staging</t>
  </si>
  <si>
    <t>SalesOrderHeaderV2Staging</t>
  </si>
  <si>
    <t>SalesOrderLineV2Staging</t>
  </si>
  <si>
    <t>SalesOrderOriginStaging</t>
  </si>
  <si>
    <t>SalesPackingSlipTrackingInformationStaging</t>
  </si>
  <si>
    <t>SalesPriceAgreementStaging</t>
  </si>
  <si>
    <t>SalesQuotationHeaderV2Staging</t>
  </si>
  <si>
    <t>SalesTableStaging</t>
  </si>
  <si>
    <t>smmContactPersonV2Staging</t>
  </si>
  <si>
    <t>VendorInvoiceHeaderStaging</t>
  </si>
  <si>
    <t>VendorInvoiceLineStaging</t>
  </si>
  <si>
    <t>VendorPaymentJournalHeaderStaging</t>
  </si>
  <si>
    <t>VendorPaymentJournalLineStaging</t>
  </si>
  <si>
    <t>VendProductReceiptHeaderStaging</t>
  </si>
  <si>
    <t>VendProductReceiptLineStaging</t>
  </si>
  <si>
    <t>VendTransStaging</t>
  </si>
  <si>
    <t>VendVendorV2Staging</t>
  </si>
  <si>
    <t>WHSProductHarmonizedTariffCodeStaging</t>
  </si>
  <si>
    <t>WMSWarehouseLocationStaging</t>
  </si>
  <si>
    <t>CustomerAttachmentsV2EntityStaging</t>
  </si>
  <si>
    <t>VendorDocumentAttachmentStaging</t>
  </si>
  <si>
    <t>PowerBI Sales Reporting Tables</t>
  </si>
  <si>
    <t>Customer groups</t>
  </si>
  <si>
    <t>Customers V3</t>
  </si>
  <si>
    <t>Customer electronic addresses</t>
  </si>
  <si>
    <t>Customer invoice journal header</t>
  </si>
  <si>
    <t>Customer invoice journal line</t>
  </si>
  <si>
    <t>Customer invoice packing slip quantity match MIT</t>
  </si>
  <si>
    <t>Customer invoice transactions MIT</t>
  </si>
  <si>
    <t>Customer aging data storage</t>
  </si>
  <si>
    <t>Customer payment journal line</t>
  </si>
  <si>
    <t>Customer packing slip transactions MIT</t>
  </si>
  <si>
    <t>Customer free text invoice</t>
  </si>
  <si>
    <t>Customer Invoice charges</t>
  </si>
  <si>
    <t>Pending and active item prices</t>
  </si>
  <si>
    <t>Pending and active item prices V2</t>
  </si>
  <si>
    <t>Item threshold setup by sales channel</t>
  </si>
  <si>
    <t>Return order headers</t>
  </si>
  <si>
    <t>Return order lines</t>
  </si>
  <si>
    <t>Sales charge codes</t>
  </si>
  <si>
    <t>Sales invoice headers V2</t>
  </si>
  <si>
    <t>Sales invoice lines V3</t>
  </si>
  <si>
    <t>Sales order lines MIT</t>
  </si>
  <si>
    <t>Open sales price journal lines V2</t>
  </si>
  <si>
    <t>Sales order charges V2</t>
  </si>
  <si>
    <t>Sales order headers V2</t>
  </si>
  <si>
    <t>Sales order lines V2</t>
  </si>
  <si>
    <t>Sales order origin codes</t>
  </si>
  <si>
    <t>Packing slip tracking information</t>
  </si>
  <si>
    <t>Sales price agreements</t>
  </si>
  <si>
    <t>Sales quotation headers V2</t>
  </si>
  <si>
    <t>Sales orders MIT</t>
  </si>
  <si>
    <t>Purchase order headers V2</t>
  </si>
  <si>
    <t>Purchase order lines V2</t>
  </si>
  <si>
    <t>Vendor invoice header</t>
  </si>
  <si>
    <t>Vendor invoice line</t>
  </si>
  <si>
    <t>Vendor payment journal header</t>
  </si>
  <si>
    <t>Vendor payment journal line</t>
  </si>
  <si>
    <t>Product receipt header</t>
  </si>
  <si>
    <t>Product receipt line</t>
  </si>
  <si>
    <t>Vendor transactions MIT</t>
  </si>
  <si>
    <t>General journal account entry reporting</t>
  </si>
  <si>
    <t>General journal account entry</t>
  </si>
  <si>
    <t>Main account</t>
  </si>
  <si>
    <t>MIT_AccountingDistribution</t>
  </si>
  <si>
    <t>MIT_DimensionAttributeLevelValue</t>
  </si>
  <si>
    <t>MIT_DIMENSIONATTRIBUTEVALUECOMBINATION</t>
  </si>
  <si>
    <t>MIT_DIMENSIONATTRIBUTEVALUEGROUPCOMBINATIONS</t>
  </si>
  <si>
    <t>MIT_DimensionAttributeValueGroup</t>
  </si>
  <si>
    <t>MIT_DIMENSIONATTRIBUTEVALUESETITEMVIEW</t>
  </si>
  <si>
    <t>MIT_DIMENSIONATTRIBUTEVALUESET</t>
  </si>
  <si>
    <t>MIT_DIMENSIONHIERARCHYLEVEL</t>
  </si>
  <si>
    <t>MIT_DIMENSIONHIERARCHYLEVELVIEW</t>
  </si>
  <si>
    <t>MIT_DIMENSIONHIERARCHY</t>
  </si>
  <si>
    <t>MIT_GENERALJOURNALENTRY</t>
  </si>
  <si>
    <t>MIT_InventDimCombination</t>
  </si>
  <si>
    <t>Business document posted sales tax</t>
  </si>
  <si>
    <t>Currencies</t>
  </si>
  <si>
    <t>Financial dimensions</t>
  </si>
  <si>
    <t>Exchange rates</t>
  </si>
  <si>
    <t>Financial dimension values</t>
  </si>
  <si>
    <t>Fiscal calendar period</t>
  </si>
  <si>
    <t>GNLN Legal Restrictions</t>
  </si>
  <si>
    <t>GNLN Product Restriction Types</t>
  </si>
  <si>
    <t>GNLN Restriction Types</t>
  </si>
  <si>
    <t>Item groups</t>
  </si>
  <si>
    <t>Department V2</t>
  </si>
  <si>
    <t>Legal entities</t>
  </si>
  <si>
    <t>GNLN Cust Trans Entity</t>
  </si>
  <si>
    <t>In Sheet</t>
  </si>
  <si>
    <t>In DB</t>
  </si>
  <si>
    <t>Staging Table</t>
  </si>
  <si>
    <t>Entity Name</t>
  </si>
  <si>
    <t>Staguing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</si>
</sst>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hgoods-my.sharepoint.com/personal/nico_banks_greenlane_com/Documents/D365/GNLN%20ERP%20Archive/Table%20Names.xlsx" TargetMode="External"/><Relationship Id="rId1" Type="http://schemas.openxmlformats.org/officeDocument/2006/relationships/externalLinkPath" Target="Table%20Nam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A1" t="str">
            <v>Staging table</v>
          </cell>
          <cell r="B1" t="str">
            <v>Entity</v>
          </cell>
        </row>
        <row r="2">
          <cell r="A2" t="str">
            <v>EcoResEveryProductStaging</v>
          </cell>
          <cell r="B2" t="str">
            <v>All products</v>
          </cell>
        </row>
        <row r="3">
          <cell r="A3" t="str">
            <v>BusinessDocumentTaxTransactionStaging</v>
          </cell>
          <cell r="B3" t="str">
            <v>Business document posted sales tax</v>
          </cell>
        </row>
        <row r="4">
          <cell r="A4" t="str">
            <v>NmbCANHarmonizeStaging</v>
          </cell>
          <cell r="B4" t="str">
            <v>CAN Harmonize Code</v>
          </cell>
        </row>
        <row r="5">
          <cell r="A5" t="str">
            <v>smmContactPersonV2Staging</v>
          </cell>
          <cell r="B5" t="str">
            <v>Contacts V2</v>
          </cell>
        </row>
        <row r="6">
          <cell r="A6" t="str">
            <v>CurrencyStaging</v>
          </cell>
          <cell r="B6" t="str">
            <v>Currencies</v>
          </cell>
        </row>
        <row r="7">
          <cell r="A7" t="str">
            <v>CustomerAgingDataStorageStaging</v>
          </cell>
          <cell r="B7" t="str">
            <v>Customer aging data storage</v>
          </cell>
        </row>
        <row r="8">
          <cell r="A8" t="str">
            <v>CustElectronicAddressStaging</v>
          </cell>
          <cell r="B8" t="str">
            <v>Customer electronic addresses</v>
          </cell>
        </row>
        <row r="9">
          <cell r="A9" t="str">
            <v>FreeTextInvoiceStaging</v>
          </cell>
          <cell r="B9" t="str">
            <v>Customer free text invoice</v>
          </cell>
        </row>
        <row r="10">
          <cell r="A10" t="str">
            <v>CustCustomerGroupEntityStaging</v>
          </cell>
          <cell r="B10" t="str">
            <v>Customer groups</v>
          </cell>
        </row>
        <row r="11">
          <cell r="A11" t="str">
            <v>GNLNCustomerInvoiceHeaderChargeStaging</v>
          </cell>
          <cell r="B11" t="str">
            <v>Customer Invoice charges</v>
          </cell>
        </row>
        <row r="12">
          <cell r="A12" t="str">
            <v>CustInvoiceJournalHeaderStaging</v>
          </cell>
          <cell r="B12" t="str">
            <v>Customer invoice journal header</v>
          </cell>
        </row>
        <row r="13">
          <cell r="A13" t="str">
            <v>CustInvoiceJournalLineStaging</v>
          </cell>
          <cell r="B13" t="str">
            <v>Customer invoice journal line</v>
          </cell>
        </row>
        <row r="14">
          <cell r="A14" t="str">
            <v>CustInvoicePackingSlipQuantityMatchStaging</v>
          </cell>
          <cell r="B14" t="str">
            <v>Customer invoice packing slip quantity match MIT</v>
          </cell>
        </row>
        <row r="15">
          <cell r="A15" t="str">
            <v>CustInvoiceTransStaging</v>
          </cell>
          <cell r="B15" t="str">
            <v>Customer invoice transactions MIT</v>
          </cell>
        </row>
        <row r="16">
          <cell r="A16" t="str">
            <v>CustPackingSlipTransStaging</v>
          </cell>
          <cell r="B16" t="str">
            <v>Customer packing slip transactions MIT</v>
          </cell>
        </row>
        <row r="17">
          <cell r="A17" t="str">
            <v>CustomerPaymentJournalLineStaging</v>
          </cell>
          <cell r="B17" t="str">
            <v>Customer payment journal line</v>
          </cell>
        </row>
        <row r="18">
          <cell r="A18" t="str">
            <v>CustCustomerV3Staging</v>
          </cell>
          <cell r="B18" t="str">
            <v>Customers V3</v>
          </cell>
        </row>
        <row r="19">
          <cell r="A19" t="str">
            <v>OMDepartmentV2Staging</v>
          </cell>
          <cell r="B19" t="str">
            <v>Department V2</v>
          </cell>
        </row>
        <row r="20">
          <cell r="A20" t="str">
            <v>HcmEmployeeV2Staging</v>
          </cell>
          <cell r="B20" t="str">
            <v>Employee V2</v>
          </cell>
        </row>
        <row r="21">
          <cell r="A21" t="str">
            <v>ExchangeRateEntityStaging</v>
          </cell>
          <cell r="B21" t="str">
            <v>Exchange rates</v>
          </cell>
        </row>
        <row r="22">
          <cell r="A22" t="str">
            <v>FinancialDimensionValueEntityStaging</v>
          </cell>
          <cell r="B22" t="str">
            <v>Financial dimension values</v>
          </cell>
        </row>
        <row r="23">
          <cell r="A23" t="str">
            <v>DimensionAttributeStaging</v>
          </cell>
          <cell r="B23" t="str">
            <v>Financial dimensions</v>
          </cell>
        </row>
        <row r="24">
          <cell r="A24" t="str">
            <v>FiscalPeriodStaging</v>
          </cell>
          <cell r="B24" t="str">
            <v>Fiscal calendar period</v>
          </cell>
        </row>
        <row r="25">
          <cell r="A25" t="str">
            <v>GeneralJournalAccountEntryStaging</v>
          </cell>
          <cell r="B25" t="str">
            <v>General journal account entry</v>
          </cell>
        </row>
        <row r="26">
          <cell r="A26" t="str">
            <v>GeneralJournalAccountEntryReportingStaging</v>
          </cell>
          <cell r="B26" t="str">
            <v>General journal account entry reporting</v>
          </cell>
        </row>
        <row r="27">
          <cell r="A27" t="str">
            <v>GeneralJournalAccountEntryStaging</v>
          </cell>
          <cell r="B27" t="str">
            <v>GeneralJournalAccountEntryEntity</v>
          </cell>
        </row>
        <row r="28">
          <cell r="A28" t="str">
            <v>DirPartyV2Staging</v>
          </cell>
          <cell r="B28" t="str">
            <v>Global address book V2</v>
          </cell>
        </row>
        <row r="29">
          <cell r="A29" t="str">
            <v>GNLNCustTransStaging</v>
          </cell>
          <cell r="B29" t="str">
            <v>GNLN Cust Trans Entity</v>
          </cell>
        </row>
        <row r="30">
          <cell r="A30" t="str">
            <v>GNLNLegalRestrictions_FDD031Staging</v>
          </cell>
          <cell r="B30" t="str">
            <v>GNLN Legal Restrictions</v>
          </cell>
        </row>
        <row r="31">
          <cell r="A31" t="str">
            <v>GNLNProductRestrictionTypes_FDD031Staging</v>
          </cell>
          <cell r="B31" t="str">
            <v>GNLN Product Restriction Types</v>
          </cell>
        </row>
        <row r="32">
          <cell r="A32" t="str">
            <v>GNLNRestrictionTypes_FDD031Staging</v>
          </cell>
          <cell r="B32" t="str">
            <v>GNLN Restriction Types</v>
          </cell>
        </row>
        <row r="33">
          <cell r="A33" t="str">
            <v>NmbWHSHarmonizedStaging</v>
          </cell>
          <cell r="B33" t="str">
            <v>Harmonized Tariff Schedules</v>
          </cell>
        </row>
        <row r="34">
          <cell r="A34" t="str">
            <v>NmbINTHarmonizeStaging</v>
          </cell>
          <cell r="B34" t="str">
            <v>INT Harmonize Code</v>
          </cell>
        </row>
        <row r="35">
          <cell r="A35" t="str">
            <v>InventInventoryAdjustmentJournalEntryV2Staging</v>
          </cell>
          <cell r="B35" t="str">
            <v>Inventory adjustment journal headers and lines V2</v>
          </cell>
        </row>
        <row r="36">
          <cell r="A36" t="str">
            <v>InventDimMergeITStaging</v>
          </cell>
          <cell r="B36" t="str">
            <v>Inventory dimensions</v>
          </cell>
        </row>
        <row r="37">
          <cell r="A37" t="str">
            <v>InventInventoryMovementJournalEntryV3Staging</v>
          </cell>
          <cell r="B37" t="str">
            <v>Inventory movement journal headers and lines V3</v>
          </cell>
        </row>
        <row r="38">
          <cell r="A38" t="str">
            <v>InventorySiteOnHandV2Staging</v>
          </cell>
          <cell r="B38" t="str">
            <v>Inventory on-hand by site V2</v>
          </cell>
        </row>
        <row r="39">
          <cell r="A39" t="str">
            <v>InventWarehouseInventoryStatusOnHandV2Staging</v>
          </cell>
          <cell r="B39" t="str">
            <v>Inventory on-hand by warehouse and inventory status V2</v>
          </cell>
        </row>
        <row r="40">
          <cell r="A40" t="str">
            <v>InventWarehouseOnHandV2Staging</v>
          </cell>
          <cell r="B40" t="str">
            <v>Inventory on-hand by warehouse V2</v>
          </cell>
        </row>
        <row r="41">
          <cell r="A41" t="str">
            <v>InventTransMergeITStaging</v>
          </cell>
          <cell r="B41" t="str">
            <v>Inventory transactions</v>
          </cell>
        </row>
        <row r="42">
          <cell r="A42" t="str">
            <v>InventTransOriginMergeITStaging</v>
          </cell>
          <cell r="B42" t="str">
            <v>Inventory transactions originator</v>
          </cell>
        </row>
        <row r="43">
          <cell r="A43" t="str">
            <v>EcoResProductBarcodeV2Staging</v>
          </cell>
          <cell r="B43" t="str">
            <v>Item - bar codes V2</v>
          </cell>
        </row>
        <row r="44">
          <cell r="A44" t="str">
            <v>EcoResProductBarcodeV3Staging</v>
          </cell>
          <cell r="B44" t="str">
            <v>Item - barcodes V3</v>
          </cell>
        </row>
        <row r="45">
          <cell r="A45" t="str">
            <v>InventProductGroupStaging</v>
          </cell>
          <cell r="B45" t="str">
            <v>Item groups</v>
          </cell>
        </row>
        <row r="46">
          <cell r="A46" t="str">
            <v>ItemThresholdSetupBySalesChannel_GNLNStaging</v>
          </cell>
          <cell r="B46" t="str">
            <v>Item threshold setup by sales channel</v>
          </cell>
        </row>
        <row r="47">
          <cell r="A47" t="str">
            <v>OMLegalStaging</v>
          </cell>
          <cell r="B47" t="str">
            <v>Legal entities</v>
          </cell>
        </row>
        <row r="48">
          <cell r="A48" t="str">
            <v>MainAccountStaging</v>
          </cell>
          <cell r="B48" t="str">
            <v>Main account</v>
          </cell>
        </row>
        <row r="49">
          <cell r="A49" t="str">
            <v>MIT_AccountingDistributionStaging</v>
          </cell>
          <cell r="B49" t="str">
            <v>MIT_AccountingDistribution</v>
          </cell>
        </row>
        <row r="50">
          <cell r="A50" t="str">
            <v>MIT_DimensionAttributeLevelValueStaging</v>
          </cell>
          <cell r="B50" t="str">
            <v>MIT_DimensionAttributeLevelValue</v>
          </cell>
        </row>
        <row r="51">
          <cell r="A51" t="str">
            <v>MIT_DIMENSIONATTRIBUTEVALUECOMBINATIONStaging</v>
          </cell>
          <cell r="B51" t="str">
            <v>MIT_DIMENSIONATTRIBUTEVALUECOMBINATION</v>
          </cell>
        </row>
        <row r="52">
          <cell r="A52" t="str">
            <v>MIT_DimensionAttributeValueGroupStaging</v>
          </cell>
          <cell r="B52" t="str">
            <v>MIT_DimensionAttributeValueGroup</v>
          </cell>
        </row>
        <row r="53">
          <cell r="A53" t="str">
            <v>MIT_DIMENSIONATTRIBUTEVALUEGROUPCOMBINATIONStaging</v>
          </cell>
          <cell r="B53" t="str">
            <v>MIT_DIMENSIONATTRIBUTEVALUEGROUPCOMBINATIONS</v>
          </cell>
        </row>
        <row r="54">
          <cell r="A54" t="str">
            <v>MIT_DIMENSIONATTRIBUTEVALUESETStaging</v>
          </cell>
          <cell r="B54" t="str">
            <v>MIT_DIMENSIONATTRIBUTEVALUESET</v>
          </cell>
        </row>
        <row r="55">
          <cell r="A55" t="str">
            <v>MIT_DIMENSIONATTRIBUTEVALUESETITEMVIEWStaging</v>
          </cell>
          <cell r="B55" t="str">
            <v>MIT_DIMENSIONATTRIBUTEVALUESETITEMVIEW</v>
          </cell>
        </row>
        <row r="56">
          <cell r="A56" t="str">
            <v>MIT_DIMENSIONHIERARCHYStaging</v>
          </cell>
          <cell r="B56" t="str">
            <v>MIT_DIMENSIONHIERARCHY</v>
          </cell>
        </row>
        <row r="57">
          <cell r="A57" t="str">
            <v>MIT_DIMENSIONHIERARCHYLEVELStaging</v>
          </cell>
          <cell r="B57" t="str">
            <v>MIT_DIMENSIONHIERARCHYLEVEL</v>
          </cell>
        </row>
        <row r="58">
          <cell r="A58" t="str">
            <v>MIT_DIMENSIONHIERARCHYLEVELVIEWStaging</v>
          </cell>
          <cell r="B58" t="str">
            <v>MIT_DIMENSIONHIERARCHYLEVELVIEW</v>
          </cell>
        </row>
        <row r="59">
          <cell r="A59" t="str">
            <v>MIT_GeneralJournalEntryStaging</v>
          </cell>
          <cell r="B59" t="str">
            <v>MIT_GENERALJOURNALENTRY</v>
          </cell>
        </row>
        <row r="60">
          <cell r="A60" t="str">
            <v>MIT_InventDimCombinationStaging</v>
          </cell>
          <cell r="B60" t="str">
            <v>MIT_InventDimCombination</v>
          </cell>
        </row>
        <row r="61">
          <cell r="A61" t="str">
            <v>MIT_InventDimCombinationStaging</v>
          </cell>
          <cell r="B61" t="str">
            <v>MIT_InventDimCombinationEntity</v>
          </cell>
        </row>
        <row r="62">
          <cell r="A62" t="str">
            <v>NmbWHSHarmonizedStaging</v>
          </cell>
          <cell r="B62" t="str">
            <v>NMB: Harmonized Tariff Schedules</v>
          </cell>
        </row>
        <row r="63">
          <cell r="A63" t="str">
            <v>SalesOpenSalesPriceJournalLineV2Staging</v>
          </cell>
          <cell r="B63" t="str">
            <v>Open sales price journal lines V2</v>
          </cell>
        </row>
        <row r="64">
          <cell r="A64" t="str">
            <v>SalesPackingSlipTrackingInformationStaging</v>
          </cell>
          <cell r="B64" t="str">
            <v>Packing slip tracking information</v>
          </cell>
        </row>
        <row r="65">
          <cell r="A65" t="str">
            <v>DirPartyContactV3Staging</v>
          </cell>
          <cell r="B65" t="str">
            <v>Party contacts V3</v>
          </cell>
        </row>
        <row r="66">
          <cell r="A66" t="str">
            <v>InventItemPriceStaging</v>
          </cell>
          <cell r="B66" t="str">
            <v>Pending and active item prices</v>
          </cell>
        </row>
        <row r="67">
          <cell r="A67" t="str">
            <v>InventItemPriceV2Staging</v>
          </cell>
          <cell r="B67" t="str">
            <v>Pending and active item prices V2</v>
          </cell>
        </row>
        <row r="68">
          <cell r="A68" t="str">
            <v>BusinessDocumentTaxTransactionStaging</v>
          </cell>
          <cell r="B68" t="str">
            <v>Posted sales tax</v>
          </cell>
        </row>
        <row r="69">
          <cell r="A69" t="str">
            <v>EcoResProductGlobalTradeItemNumberAssignmentV2Staging</v>
          </cell>
          <cell r="B69" t="str">
            <v>Product global trade item number assignments V2</v>
          </cell>
        </row>
        <row r="70">
          <cell r="A70" t="str">
            <v>WHSProductHarmonizedTariffCodeStaging</v>
          </cell>
          <cell r="B70" t="str">
            <v>Product harmonized tariff codes</v>
          </cell>
        </row>
        <row r="71">
          <cell r="A71" t="str">
            <v>VendProductReceiptHeaderStaging</v>
          </cell>
          <cell r="B71" t="str">
            <v>Product receipt header</v>
          </cell>
        </row>
        <row r="72">
          <cell r="A72" t="str">
            <v>VendProductReceiptLineStaging</v>
          </cell>
          <cell r="B72" t="str">
            <v>Product receipt line</v>
          </cell>
        </row>
        <row r="73">
          <cell r="A73" t="str">
            <v>EcoResProductTranslationStaging</v>
          </cell>
          <cell r="B73" t="str">
            <v>Product translations</v>
          </cell>
        </row>
        <row r="74">
          <cell r="A74" t="str">
            <v>EcoResProductVariantV2Staging</v>
          </cell>
          <cell r="B74" t="str">
            <v>Product variants V2</v>
          </cell>
        </row>
        <row r="75">
          <cell r="A75" t="str">
            <v>EcoResProductV2Staging</v>
          </cell>
          <cell r="B75" t="str">
            <v>Products V2</v>
          </cell>
        </row>
        <row r="76">
          <cell r="A76" t="str">
            <v>PurchPurchaseOrderHeaderV2Staging</v>
          </cell>
          <cell r="B76" t="str">
            <v>Purchase order headers V2</v>
          </cell>
        </row>
        <row r="77">
          <cell r="A77" t="str">
            <v>PurchPurchaseOrderLineV2Staging</v>
          </cell>
          <cell r="B77" t="str">
            <v>Purchase order lines V2</v>
          </cell>
        </row>
        <row r="78">
          <cell r="A78" t="str">
            <v>EcoResReleasedProductVariantV2Staging</v>
          </cell>
          <cell r="B78" t="str">
            <v>Released product variants V2</v>
          </cell>
        </row>
        <row r="79">
          <cell r="A79" t="str">
            <v>EcoResReleasedProductV2Staging</v>
          </cell>
          <cell r="B79" t="str">
            <v>Released products V2</v>
          </cell>
        </row>
        <row r="80">
          <cell r="A80" t="str">
            <v>ReturnOrderHeaderStaging</v>
          </cell>
          <cell r="B80" t="str">
            <v>Return order headers</v>
          </cell>
        </row>
        <row r="81">
          <cell r="A81" t="str">
            <v>ReturnOrderLineStaging</v>
          </cell>
          <cell r="B81" t="str">
            <v>Return order lines</v>
          </cell>
        </row>
        <row r="82">
          <cell r="A82" t="str">
            <v>SalesChargeStaging</v>
          </cell>
          <cell r="B82" t="str">
            <v>Sales charge codes</v>
          </cell>
        </row>
        <row r="83">
          <cell r="A83" t="str">
            <v>SalesInvoiceHeaderV2Staging</v>
          </cell>
          <cell r="B83" t="str">
            <v>Sales invoice headers V2</v>
          </cell>
        </row>
        <row r="84">
          <cell r="A84" t="str">
            <v>SalesInvoiceLineV3Staging</v>
          </cell>
          <cell r="B84" t="str">
            <v>Sales invoice lines V3</v>
          </cell>
        </row>
        <row r="85">
          <cell r="A85" t="str">
            <v>SalesOrderHeaderChargeV2Staging</v>
          </cell>
          <cell r="B85" t="str">
            <v>Sales order charges V2</v>
          </cell>
        </row>
        <row r="86">
          <cell r="A86" t="str">
            <v>SalesOrderHeaderV2Staging</v>
          </cell>
          <cell r="B86" t="str">
            <v>Sales order headers V2</v>
          </cell>
        </row>
        <row r="87">
          <cell r="A87" t="str">
            <v>SalesLineStaging</v>
          </cell>
          <cell r="B87" t="str">
            <v>Sales order lines MIT</v>
          </cell>
        </row>
        <row r="88">
          <cell r="A88" t="str">
            <v>SalesOrderLineV2Staging</v>
          </cell>
          <cell r="B88" t="str">
            <v>Sales order lines V2</v>
          </cell>
        </row>
        <row r="89">
          <cell r="A89" t="str">
            <v>SalesOrderOriginStaging</v>
          </cell>
          <cell r="B89" t="str">
            <v>Sales order origin codes</v>
          </cell>
        </row>
        <row r="90">
          <cell r="A90" t="str">
            <v>SalesTableStaging</v>
          </cell>
          <cell r="B90" t="str">
            <v>Sales orders MIT</v>
          </cell>
        </row>
        <row r="91">
          <cell r="A91" t="str">
            <v>SalesPriceAgreementStaging</v>
          </cell>
          <cell r="B91" t="str">
            <v>Sales price agreements</v>
          </cell>
        </row>
        <row r="92">
          <cell r="A92" t="str">
            <v>SalesQuotationHeaderV2Staging</v>
          </cell>
          <cell r="B92" t="str">
            <v>Sales quotation headers V2</v>
          </cell>
        </row>
        <row r="93">
          <cell r="A93" t="str">
            <v>InventTransferOrderHeaderStaging</v>
          </cell>
          <cell r="B93" t="str">
            <v>Transfer order headers</v>
          </cell>
        </row>
        <row r="94">
          <cell r="A94" t="str">
            <v>InventTransferOrderLineStaging</v>
          </cell>
          <cell r="B94" t="str">
            <v>Transfer order lines</v>
          </cell>
        </row>
        <row r="95">
          <cell r="A95" t="str">
            <v>NmbUSAHarmonizeStaging</v>
          </cell>
          <cell r="B95" t="str">
            <v>USA Harmonize Code</v>
          </cell>
        </row>
        <row r="96">
          <cell r="A96" t="str">
            <v>VendorInvoiceHeaderStaging</v>
          </cell>
          <cell r="B96" t="str">
            <v>Vendor invoice header</v>
          </cell>
        </row>
        <row r="97">
          <cell r="A97" t="str">
            <v>VendorInvoiceLineStaging</v>
          </cell>
          <cell r="B97" t="str">
            <v>Vendor invoice line</v>
          </cell>
        </row>
        <row r="98">
          <cell r="A98" t="str">
            <v>VendorPaymentJournalHeaderStaging</v>
          </cell>
          <cell r="B98" t="str">
            <v>Vendor payment journal header</v>
          </cell>
        </row>
        <row r="99">
          <cell r="A99" t="str">
            <v>VendorPaymentJournalLineStaging</v>
          </cell>
          <cell r="B99" t="str">
            <v>Vendor payment journal line</v>
          </cell>
        </row>
        <row r="100">
          <cell r="A100" t="str">
            <v>VendTransStaging</v>
          </cell>
          <cell r="B100" t="str">
            <v>Vendor transactions MIT</v>
          </cell>
        </row>
        <row r="101">
          <cell r="A101" t="str">
            <v>VendVendorV2Staging</v>
          </cell>
          <cell r="B101" t="str">
            <v>Vendors V2</v>
          </cell>
        </row>
        <row r="102">
          <cell r="A102" t="str">
            <v>WMSWarehouseLocationStaging</v>
          </cell>
          <cell r="B102" t="str">
            <v>Warehouse locations</v>
          </cell>
        </row>
        <row r="103">
          <cell r="A103" t="str">
            <v>InventWarehouseStaging</v>
          </cell>
          <cell r="B103" t="str">
            <v>Warehouses</v>
          </cell>
        </row>
        <row r="104">
          <cell r="A104" t="str">
            <v>HcmWorkerStaging</v>
          </cell>
          <cell r="B104" t="str">
            <v>Worker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"/>
  <sheetViews>
    <sheetView workbookViewId="0">
      <selection activeCell="B1" sqref="B1"/>
    </sheetView>
  </sheetViews>
  <sheetFormatPr defaultRowHeight="15" x14ac:dyDescent="0.25"/>
  <cols>
    <col min="1" max="1" width="69.28515625" customWidth="1"/>
  </cols>
  <sheetData>
    <row r="1" spans="1:2" x14ac:dyDescent="0.25">
      <c r="A1" t="s">
        <v>0</v>
      </c>
      <c r="B1" t="s">
        <v>170</v>
      </c>
    </row>
    <row r="2" spans="1:2" x14ac:dyDescent="0.25">
      <c r="A2" t="s">
        <v>1</v>
      </c>
    </row>
    <row r="3" spans="1:2" x14ac:dyDescent="0.25">
      <c r="A3" t="s">
        <v>2</v>
      </c>
    </row>
    <row r="4" spans="1:2" x14ac:dyDescent="0.25">
      <c r="A4" t="s">
        <v>3</v>
      </c>
    </row>
    <row r="5" spans="1:2" x14ac:dyDescent="0.25">
      <c r="A5" t="s">
        <v>4</v>
      </c>
    </row>
    <row r="6" spans="1:2" x14ac:dyDescent="0.25">
      <c r="A6" t="s">
        <v>5</v>
      </c>
    </row>
    <row r="7" spans="1:2" x14ac:dyDescent="0.25">
      <c r="A7" t="s">
        <v>6</v>
      </c>
    </row>
    <row r="8" spans="1:2" x14ac:dyDescent="0.25">
      <c r="A8" t="s">
        <v>7</v>
      </c>
    </row>
    <row r="9" spans="1:2" x14ac:dyDescent="0.25">
      <c r="A9" t="s">
        <v>8</v>
      </c>
    </row>
    <row r="10" spans="1:2" x14ac:dyDescent="0.25">
      <c r="A10" t="s">
        <v>9</v>
      </c>
    </row>
    <row r="11" spans="1:2" x14ac:dyDescent="0.25">
      <c r="A11" t="s">
        <v>10</v>
      </c>
    </row>
    <row r="12" spans="1:2" x14ac:dyDescent="0.25">
      <c r="A12" t="s">
        <v>11</v>
      </c>
    </row>
    <row r="13" spans="1:2" x14ac:dyDescent="0.25">
      <c r="A13" t="s">
        <v>12</v>
      </c>
    </row>
    <row r="14" spans="1:2" x14ac:dyDescent="0.25">
      <c r="A14" t="s">
        <v>13</v>
      </c>
    </row>
    <row r="15" spans="1:2" x14ac:dyDescent="0.25">
      <c r="A15" t="s">
        <v>14</v>
      </c>
    </row>
    <row r="16" spans="1:2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A8A37-67C5-4BF7-9619-909EAE3B46C4}">
  <dimension ref="A1:D86"/>
  <sheetViews>
    <sheetView topLeftCell="A53" workbookViewId="0">
      <selection activeCell="C20" sqref="C20:C86"/>
    </sheetView>
  </sheetViews>
  <sheetFormatPr defaultRowHeight="15" x14ac:dyDescent="0.25"/>
  <cols>
    <col min="1" max="1" width="64.42578125" customWidth="1"/>
    <col min="2" max="3" width="69.42578125" customWidth="1"/>
  </cols>
  <sheetData>
    <row r="1" spans="1:4" x14ac:dyDescent="0.25">
      <c r="A1" t="s">
        <v>172</v>
      </c>
      <c r="B1" t="s">
        <v>173</v>
      </c>
      <c r="C1" t="s">
        <v>174</v>
      </c>
      <c r="D1" t="s">
        <v>171</v>
      </c>
    </row>
    <row r="2" spans="1:4" ht="15.75" x14ac:dyDescent="0.25">
      <c r="A2" s="1" t="s">
        <v>100</v>
      </c>
      <c r="B2" s="1" t="str">
        <f>_xlfn.XLOOKUP(A2,[1]Sheet1!$A:$A,[1]Sheet1!$B:$B,"Not found",0)</f>
        <v>Not found</v>
      </c>
      <c r="C2" s="1" t="str">
        <f>_xlfn.XLOOKUP(A2,[1]Sheet1!$B:$B,[1]Sheet1!$A:$A,"Not found",0)</f>
        <v>Not found</v>
      </c>
    </row>
    <row r="3" spans="1:4" ht="15.75" x14ac:dyDescent="0.25">
      <c r="A3" s="1" t="s">
        <v>97</v>
      </c>
      <c r="B3" s="1" t="str">
        <f>_xlfn.XLOOKUP(A3,[1]Sheet1!$A:$A,[1]Sheet1!$B:$B,"Not found",0)</f>
        <v>Vendors V2</v>
      </c>
      <c r="C3" s="1" t="str">
        <f>_xlfn.XLOOKUP(A3,[1]Sheet1!$B:$B,[1]Sheet1!$A:$A,"Not found",0)</f>
        <v>Not found</v>
      </c>
      <c r="D3" t="str">
        <f>_xlfn.XLOOKUP(A3,sheet1!A:A,sheet1!A:A,"Not found",0)</f>
        <v>VendVendorV2Staging</v>
      </c>
    </row>
    <row r="4" spans="1:4" ht="15.75" x14ac:dyDescent="0.25">
      <c r="A4" s="1" t="s">
        <v>15</v>
      </c>
      <c r="B4" s="1" t="str">
        <f>_xlfn.XLOOKUP(A4,[1]Sheet1!$A:$A,[1]Sheet1!$B:$B,"Not found",0)</f>
        <v>Global address book V2</v>
      </c>
      <c r="C4" s="1" t="str">
        <f>_xlfn.XLOOKUP(A4,[1]Sheet1!$B:$B,[1]Sheet1!$A:$A,"Not found",0)</f>
        <v>Not found</v>
      </c>
      <c r="D4" t="str">
        <f>_xlfn.XLOOKUP(A4,sheet1!A:A,sheet1!A:A,"Not found",0)</f>
        <v>DirPartyV2Staging</v>
      </c>
    </row>
    <row r="5" spans="1:4" ht="15.75" x14ac:dyDescent="0.25">
      <c r="A5" s="1" t="s">
        <v>14</v>
      </c>
      <c r="B5" s="1" t="str">
        <f>_xlfn.XLOOKUP(A5,[1]Sheet1!$A:$A,[1]Sheet1!$B:$B,"Not found",0)</f>
        <v>Party contacts V3</v>
      </c>
      <c r="C5" s="1" t="str">
        <f>_xlfn.XLOOKUP(A5,[1]Sheet1!$B:$B,[1]Sheet1!$A:$A,"Not found",0)</f>
        <v>Not found</v>
      </c>
      <c r="D5" t="str">
        <f>_xlfn.XLOOKUP(A5,sheet1!A:A,sheet1!A:A,"Not found",0)</f>
        <v>DirPartyContactV3Staging</v>
      </c>
    </row>
    <row r="6" spans="1:4" ht="15.75" x14ac:dyDescent="0.25">
      <c r="A6" s="1" t="s">
        <v>101</v>
      </c>
      <c r="B6" s="1" t="str">
        <f>_xlfn.XLOOKUP(A6,[1]Sheet1!$A:$A,[1]Sheet1!$B:$B,"Not found",0)</f>
        <v>Not found</v>
      </c>
      <c r="C6" s="1" t="str">
        <f>_xlfn.XLOOKUP(A6,[1]Sheet1!$B:$B,[1]Sheet1!$A:$A,"Not found",0)</f>
        <v>Not found</v>
      </c>
      <c r="D6" t="str">
        <f>_xlfn.XLOOKUP(A6,sheet1!A:A,sheet1!A:A,"Not found",0)</f>
        <v>Not found</v>
      </c>
    </row>
    <row r="7" spans="1:4" ht="15.75" x14ac:dyDescent="0.25">
      <c r="A7" s="1" t="s">
        <v>16</v>
      </c>
      <c r="B7" s="1" t="str">
        <f>_xlfn.XLOOKUP(A7,[1]Sheet1!$A:$A,[1]Sheet1!$B:$B,"Not found",0)</f>
        <v>All products</v>
      </c>
      <c r="C7" s="1" t="str">
        <f>_xlfn.XLOOKUP(A7,[1]Sheet1!$B:$B,[1]Sheet1!$A:$A,"Not found",0)</f>
        <v>Not found</v>
      </c>
      <c r="D7" t="str">
        <f>_xlfn.XLOOKUP(A7,sheet1!A:A,sheet1!A:A,"Not found",0)</f>
        <v>EcoResEveryProductStaging</v>
      </c>
    </row>
    <row r="8" spans="1:4" ht="15.75" x14ac:dyDescent="0.25">
      <c r="A8" s="1" t="s">
        <v>19</v>
      </c>
      <c r="B8" s="1" t="str">
        <f>_xlfn.XLOOKUP(A8,[1]Sheet1!$A:$A,[1]Sheet1!$B:$B,"Not found",0)</f>
        <v>Product global trade item number assignments V2</v>
      </c>
      <c r="C8" s="1" t="str">
        <f>_xlfn.XLOOKUP(A8,[1]Sheet1!$B:$B,[1]Sheet1!$A:$A,"Not found",0)</f>
        <v>Not found</v>
      </c>
      <c r="D8" t="str">
        <f>_xlfn.XLOOKUP(A8,sheet1!A:A,sheet1!A:A,"Not found",0)</f>
        <v>EcoResProductGlobalTradeItemNumberAssignmentV2Staging</v>
      </c>
    </row>
    <row r="9" spans="1:4" ht="15.75" x14ac:dyDescent="0.25">
      <c r="A9" s="1" t="s">
        <v>20</v>
      </c>
      <c r="B9" s="1" t="str">
        <f>_xlfn.XLOOKUP(A9,[1]Sheet1!$A:$A,[1]Sheet1!$B:$B,"Not found",0)</f>
        <v>Product translations</v>
      </c>
      <c r="C9" s="1" t="str">
        <f>_xlfn.XLOOKUP(A9,[1]Sheet1!$B:$B,[1]Sheet1!$A:$A,"Not found",0)</f>
        <v>Not found</v>
      </c>
      <c r="D9" t="str">
        <f>_xlfn.XLOOKUP(A9,sheet1!A:A,sheet1!A:A,"Not found",0)</f>
        <v>EcoResProductTranslationStaging</v>
      </c>
    </row>
    <row r="10" spans="1:4" ht="15.75" x14ac:dyDescent="0.25">
      <c r="A10" s="1" t="s">
        <v>21</v>
      </c>
      <c r="B10" s="1" t="str">
        <f>_xlfn.XLOOKUP(A10,[1]Sheet1!$A:$A,[1]Sheet1!$B:$B,"Not found",0)</f>
        <v>Products V2</v>
      </c>
      <c r="C10" s="1" t="str">
        <f>_xlfn.XLOOKUP(A10,[1]Sheet1!$B:$B,[1]Sheet1!$A:$A,"Not found",0)</f>
        <v>Not found</v>
      </c>
      <c r="D10" t="str">
        <f>_xlfn.XLOOKUP(A10,sheet1!A:A,sheet1!A:A,"Not found",0)</f>
        <v>EcoResProductV2Staging</v>
      </c>
    </row>
    <row r="11" spans="1:4" ht="15.75" x14ac:dyDescent="0.25">
      <c r="A11" s="1" t="s">
        <v>22</v>
      </c>
      <c r="B11" s="1" t="str">
        <f>_xlfn.XLOOKUP(A11,[1]Sheet1!$A:$A,[1]Sheet1!$B:$B,"Not found",0)</f>
        <v>Product variants V2</v>
      </c>
      <c r="C11" s="1" t="str">
        <f>_xlfn.XLOOKUP(A11,[1]Sheet1!$B:$B,[1]Sheet1!$A:$A,"Not found",0)</f>
        <v>Not found</v>
      </c>
      <c r="D11" t="str">
        <f>_xlfn.XLOOKUP(A11,sheet1!A:A,sheet1!A:A,"Not found",0)</f>
        <v>EcoResProductVariantV2Staging</v>
      </c>
    </row>
    <row r="12" spans="1:4" ht="15.75" x14ac:dyDescent="0.25">
      <c r="A12" s="1" t="s">
        <v>23</v>
      </c>
      <c r="B12" s="1" t="str">
        <f>_xlfn.XLOOKUP(A12,[1]Sheet1!$A:$A,[1]Sheet1!$B:$B,"Not found",0)</f>
        <v>Released products V2</v>
      </c>
      <c r="C12" s="1" t="str">
        <f>_xlfn.XLOOKUP(A12,[1]Sheet1!$B:$B,[1]Sheet1!$A:$A,"Not found",0)</f>
        <v>Not found</v>
      </c>
      <c r="D12" t="str">
        <f>_xlfn.XLOOKUP(A12,sheet1!A:A,sheet1!A:A,"Not found",0)</f>
        <v>EcoResReleasedProductV2Staging</v>
      </c>
    </row>
    <row r="13" spans="1:4" ht="15.75" x14ac:dyDescent="0.25">
      <c r="A13" s="1" t="s">
        <v>24</v>
      </c>
      <c r="B13" s="1" t="str">
        <f>_xlfn.XLOOKUP(A13,[1]Sheet1!$A:$A,[1]Sheet1!$B:$B,"Not found",0)</f>
        <v>Released product variants V2</v>
      </c>
      <c r="C13" s="1" t="str">
        <f>_xlfn.XLOOKUP(A13,[1]Sheet1!$B:$B,[1]Sheet1!$A:$A,"Not found",0)</f>
        <v>Not found</v>
      </c>
      <c r="D13" t="str">
        <f>_xlfn.XLOOKUP(A13,sheet1!A:A,sheet1!A:A,"Not found",0)</f>
        <v>EcoResReleasedProductVariantV2Staging</v>
      </c>
    </row>
    <row r="14" spans="1:4" ht="15.75" x14ac:dyDescent="0.25">
      <c r="A14" s="1" t="s">
        <v>66</v>
      </c>
      <c r="B14" s="1" t="str">
        <f>_xlfn.XLOOKUP(A14,[1]Sheet1!$A:$A,[1]Sheet1!$B:$B,"Not found",0)</f>
        <v>CAN Harmonize Code</v>
      </c>
      <c r="C14" s="1" t="str">
        <f>_xlfn.XLOOKUP(A14,[1]Sheet1!$B:$B,[1]Sheet1!$A:$A,"Not found",0)</f>
        <v>Not found</v>
      </c>
      <c r="D14" t="str">
        <f>_xlfn.XLOOKUP(A14,sheet1!A:A,sheet1!A:A,"Not found",0)</f>
        <v>NmbCANHarmonizeStaging</v>
      </c>
    </row>
    <row r="15" spans="1:4" ht="15.75" x14ac:dyDescent="0.25">
      <c r="A15" s="1" t="s">
        <v>67</v>
      </c>
      <c r="B15" s="1" t="str">
        <f>_xlfn.XLOOKUP(A15,[1]Sheet1!$A:$A,[1]Sheet1!$B:$B,"Not found",0)</f>
        <v>INT Harmonize Code</v>
      </c>
      <c r="C15" s="1" t="str">
        <f>_xlfn.XLOOKUP(A15,[1]Sheet1!$B:$B,[1]Sheet1!$A:$A,"Not found",0)</f>
        <v>Not found</v>
      </c>
      <c r="D15" t="str">
        <f>_xlfn.XLOOKUP(A15,sheet1!A:A,sheet1!A:A,"Not found",0)</f>
        <v>NmbINTHarmonizeStaging</v>
      </c>
    </row>
    <row r="16" spans="1:4" ht="15.75" x14ac:dyDescent="0.25">
      <c r="A16" s="1" t="s">
        <v>68</v>
      </c>
      <c r="B16" s="1" t="str">
        <f>_xlfn.XLOOKUP(A16,[1]Sheet1!$A:$A,[1]Sheet1!$B:$B,"Not found",0)</f>
        <v>USA Harmonize Code</v>
      </c>
      <c r="C16" s="1" t="str">
        <f>_xlfn.XLOOKUP(A16,[1]Sheet1!$B:$B,[1]Sheet1!$A:$A,"Not found",0)</f>
        <v>Not found</v>
      </c>
      <c r="D16" t="str">
        <f>_xlfn.XLOOKUP(A16,sheet1!A:A,sheet1!A:A,"Not found",0)</f>
        <v>NmbUSAHarmonizeStaging</v>
      </c>
    </row>
    <row r="17" spans="1:4" ht="15.75" x14ac:dyDescent="0.25">
      <c r="A17" s="1" t="s">
        <v>69</v>
      </c>
      <c r="B17" s="1" t="str">
        <f>_xlfn.XLOOKUP(A17,[1]Sheet1!$A:$A,[1]Sheet1!$B:$B,"Not found",0)</f>
        <v>Harmonized Tariff Schedules</v>
      </c>
      <c r="C17" s="1" t="str">
        <f>_xlfn.XLOOKUP(A17,[1]Sheet1!$B:$B,[1]Sheet1!$A:$A,"Not found",0)</f>
        <v>Not found</v>
      </c>
      <c r="D17" t="str">
        <f>_xlfn.XLOOKUP(A17,sheet1!A:A,sheet1!A:A,"Not found",0)</f>
        <v>NmbWHSHarmonizedStaging</v>
      </c>
    </row>
    <row r="18" spans="1:4" ht="15.75" x14ac:dyDescent="0.25">
      <c r="A18" s="1" t="s">
        <v>98</v>
      </c>
      <c r="B18" s="1" t="str">
        <f>_xlfn.XLOOKUP(A18,[1]Sheet1!$A:$A,[1]Sheet1!$B:$B,"Not found",0)</f>
        <v>Product harmonized tariff codes</v>
      </c>
      <c r="C18" s="1" t="str">
        <f>_xlfn.XLOOKUP(A18,[1]Sheet1!$B:$B,[1]Sheet1!$A:$A,"Not found",0)</f>
        <v>Not found</v>
      </c>
      <c r="D18" t="str">
        <f>_xlfn.XLOOKUP(A18,sheet1!A:A,sheet1!A:A,"Not found",0)</f>
        <v>WHSProductHarmonizedTariffCodeStaging</v>
      </c>
    </row>
    <row r="19" spans="1:4" ht="15.75" x14ac:dyDescent="0.25">
      <c r="A19" s="1" t="s">
        <v>102</v>
      </c>
      <c r="B19" s="1" t="str">
        <f>_xlfn.XLOOKUP(A19,[1]Sheet1!$A:$A,[1]Sheet1!$B:$B,"Not found",0)</f>
        <v>Not found</v>
      </c>
      <c r="C19" s="1" t="str">
        <f>_xlfn.XLOOKUP(A19,[1]Sheet1!$B:$B,[1]Sheet1!$A:$A,"Not found",0)</f>
        <v>Not found</v>
      </c>
      <c r="D19" t="str">
        <f>_xlfn.XLOOKUP(A19,sheet1!A:A,sheet1!A:A,"Not found",0)</f>
        <v>Not found</v>
      </c>
    </row>
    <row r="20" spans="1:4" ht="15.75" x14ac:dyDescent="0.25">
      <c r="A20" s="1" t="s">
        <v>103</v>
      </c>
      <c r="B20" s="1" t="str">
        <f>_xlfn.XLOOKUP(A20,[1]Sheet1!$A:$A,[1]Sheet1!$B:$B,"Not found",0)</f>
        <v>Not found</v>
      </c>
      <c r="C20" s="1" t="str">
        <f>_xlfn.XLOOKUP(A20,[1]Sheet1!$B:$B,[1]Sheet1!$A:$A,"Not found",0)</f>
        <v>CustCustomerGroupEntityStaging</v>
      </c>
      <c r="D20" t="str">
        <f>_xlfn.XLOOKUP(A20,sheet1!A:A,sheet1!A:A,"Not found",0)</f>
        <v>Not found</v>
      </c>
    </row>
    <row r="21" spans="1:4" ht="15.75" x14ac:dyDescent="0.25">
      <c r="A21" s="1" t="s">
        <v>104</v>
      </c>
      <c r="B21" s="1" t="str">
        <f>_xlfn.XLOOKUP(A21,[1]Sheet1!$A:$A,[1]Sheet1!$B:$B,"Not found",0)</f>
        <v>Not found</v>
      </c>
      <c r="C21" s="1" t="str">
        <f>_xlfn.XLOOKUP(A21,[1]Sheet1!$B:$B,[1]Sheet1!$A:$A,"Not found",0)</f>
        <v>CustCustomerV3Staging</v>
      </c>
      <c r="D21" t="str">
        <f>_xlfn.XLOOKUP(A21,sheet1!A:A,sheet1!A:A,"Not found",0)</f>
        <v>Not found</v>
      </c>
    </row>
    <row r="22" spans="1:4" ht="15.75" x14ac:dyDescent="0.25">
      <c r="A22" s="1" t="s">
        <v>105</v>
      </c>
      <c r="B22" s="1" t="str">
        <f>_xlfn.XLOOKUP(A22,[1]Sheet1!$A:$A,[1]Sheet1!$B:$B,"Not found",0)</f>
        <v>Not found</v>
      </c>
      <c r="C22" s="1" t="str">
        <f>_xlfn.XLOOKUP(A22,[1]Sheet1!$B:$B,[1]Sheet1!$A:$A,"Not found",0)</f>
        <v>CustElectronicAddressStaging</v>
      </c>
      <c r="D22" t="str">
        <f>_xlfn.XLOOKUP(A22,sheet1!A:A,sheet1!A:A,"Not found",0)</f>
        <v>Not found</v>
      </c>
    </row>
    <row r="23" spans="1:4" ht="15.75" x14ac:dyDescent="0.25">
      <c r="A23" s="1" t="s">
        <v>106</v>
      </c>
      <c r="B23" s="1" t="str">
        <f>_xlfn.XLOOKUP(A23,[1]Sheet1!$A:$A,[1]Sheet1!$B:$B,"Not found",0)</f>
        <v>Not found</v>
      </c>
      <c r="C23" s="1" t="str">
        <f>_xlfn.XLOOKUP(A23,[1]Sheet1!$B:$B,[1]Sheet1!$A:$A,"Not found",0)</f>
        <v>CustInvoiceJournalHeaderStaging</v>
      </c>
      <c r="D23" t="str">
        <f>_xlfn.XLOOKUP(A23,sheet1!A:A,sheet1!A:A,"Not found",0)</f>
        <v>Not found</v>
      </c>
    </row>
    <row r="24" spans="1:4" ht="15.75" x14ac:dyDescent="0.25">
      <c r="A24" s="1" t="s">
        <v>107</v>
      </c>
      <c r="B24" s="1" t="str">
        <f>_xlfn.XLOOKUP(A24,[1]Sheet1!$A:$A,[1]Sheet1!$B:$B,"Not found",0)</f>
        <v>Not found</v>
      </c>
      <c r="C24" s="1" t="str">
        <f>_xlfn.XLOOKUP(A24,[1]Sheet1!$B:$B,[1]Sheet1!$A:$A,"Not found",0)</f>
        <v>CustInvoiceJournalLineStaging</v>
      </c>
      <c r="D24" t="str">
        <f>_xlfn.XLOOKUP(A24,sheet1!A:A,sheet1!A:A,"Not found",0)</f>
        <v>Not found</v>
      </c>
    </row>
    <row r="25" spans="1:4" ht="15.75" x14ac:dyDescent="0.25">
      <c r="A25" s="1" t="s">
        <v>108</v>
      </c>
      <c r="B25" s="1" t="str">
        <f>_xlfn.XLOOKUP(A25,[1]Sheet1!$A:$A,[1]Sheet1!$B:$B,"Not found",0)</f>
        <v>Not found</v>
      </c>
      <c r="C25" s="1" t="str">
        <f>_xlfn.XLOOKUP(A25,[1]Sheet1!$B:$B,[1]Sheet1!$A:$A,"Not found",0)</f>
        <v>CustInvoicePackingSlipQuantityMatchStaging</v>
      </c>
      <c r="D25" t="str">
        <f>_xlfn.XLOOKUP(A25,sheet1!A:A,sheet1!A:A,"Not found",0)</f>
        <v>Not found</v>
      </c>
    </row>
    <row r="26" spans="1:4" ht="15.75" x14ac:dyDescent="0.25">
      <c r="A26" s="1" t="s">
        <v>109</v>
      </c>
      <c r="B26" s="1" t="str">
        <f>_xlfn.XLOOKUP(A26,[1]Sheet1!$A:$A,[1]Sheet1!$B:$B,"Not found",0)</f>
        <v>Not found</v>
      </c>
      <c r="C26" s="1" t="str">
        <f>_xlfn.XLOOKUP(A26,[1]Sheet1!$B:$B,[1]Sheet1!$A:$A,"Not found",0)</f>
        <v>CustInvoiceTransStaging</v>
      </c>
      <c r="D26" t="str">
        <f>_xlfn.XLOOKUP(A26,sheet1!A:A,sheet1!A:A,"Not found",0)</f>
        <v>Not found</v>
      </c>
    </row>
    <row r="27" spans="1:4" ht="15.75" x14ac:dyDescent="0.25">
      <c r="A27" s="1" t="s">
        <v>110</v>
      </c>
      <c r="B27" s="1" t="str">
        <f>_xlfn.XLOOKUP(A27,[1]Sheet1!$A:$A,[1]Sheet1!$B:$B,"Not found",0)</f>
        <v>Not found</v>
      </c>
      <c r="C27" s="1" t="str">
        <f>_xlfn.XLOOKUP(A27,[1]Sheet1!$B:$B,[1]Sheet1!$A:$A,"Not found",0)</f>
        <v>CustomerAgingDataStorageStaging</v>
      </c>
      <c r="D27" t="str">
        <f>_xlfn.XLOOKUP(A27,sheet1!A:A,sheet1!A:A,"Not found",0)</f>
        <v>Not found</v>
      </c>
    </row>
    <row r="28" spans="1:4" ht="15.75" x14ac:dyDescent="0.25">
      <c r="A28" s="1" t="s">
        <v>111</v>
      </c>
      <c r="B28" s="1" t="str">
        <f>_xlfn.XLOOKUP(A28,[1]Sheet1!$A:$A,[1]Sheet1!$B:$B,"Not found",0)</f>
        <v>Not found</v>
      </c>
      <c r="C28" s="1" t="str">
        <f>_xlfn.XLOOKUP(A28,[1]Sheet1!$B:$B,[1]Sheet1!$A:$A,"Not found",0)</f>
        <v>CustomerPaymentJournalLineStaging</v>
      </c>
      <c r="D28" t="str">
        <f>_xlfn.XLOOKUP(A28,sheet1!A:A,sheet1!A:A,"Not found",0)</f>
        <v>Not found</v>
      </c>
    </row>
    <row r="29" spans="1:4" ht="15.75" x14ac:dyDescent="0.25">
      <c r="A29" s="1" t="s">
        <v>112</v>
      </c>
      <c r="B29" s="1" t="str">
        <f>_xlfn.XLOOKUP(A29,[1]Sheet1!$A:$A,[1]Sheet1!$B:$B,"Not found",0)</f>
        <v>Not found</v>
      </c>
      <c r="C29" s="1" t="str">
        <f>_xlfn.XLOOKUP(A29,[1]Sheet1!$B:$B,[1]Sheet1!$A:$A,"Not found",0)</f>
        <v>CustPackingSlipTransStaging</v>
      </c>
      <c r="D29" t="str">
        <f>_xlfn.XLOOKUP(A29,sheet1!A:A,sheet1!A:A,"Not found",0)</f>
        <v>Not found</v>
      </c>
    </row>
    <row r="30" spans="1:4" ht="15.75" x14ac:dyDescent="0.25">
      <c r="A30" s="1" t="s">
        <v>113</v>
      </c>
      <c r="B30" s="1" t="str">
        <f>_xlfn.XLOOKUP(A30,[1]Sheet1!$A:$A,[1]Sheet1!$B:$B,"Not found",0)</f>
        <v>Not found</v>
      </c>
      <c r="C30" s="1" t="str">
        <f>_xlfn.XLOOKUP(A30,[1]Sheet1!$B:$B,[1]Sheet1!$A:$A,"Not found",0)</f>
        <v>FreeTextInvoiceStaging</v>
      </c>
      <c r="D30" t="str">
        <f>_xlfn.XLOOKUP(A30,sheet1!A:A,sheet1!A:A,"Not found",0)</f>
        <v>Not found</v>
      </c>
    </row>
    <row r="31" spans="1:4" ht="15.75" x14ac:dyDescent="0.25">
      <c r="A31" s="1" t="s">
        <v>114</v>
      </c>
      <c r="B31" s="1" t="str">
        <f>_xlfn.XLOOKUP(A31,[1]Sheet1!$A:$A,[1]Sheet1!$B:$B,"Not found",0)</f>
        <v>Not found</v>
      </c>
      <c r="C31" s="1" t="str">
        <f>_xlfn.XLOOKUP(A31,[1]Sheet1!$B:$B,[1]Sheet1!$A:$A,"Not found",0)</f>
        <v>GNLNCustomerInvoiceHeaderChargeStaging</v>
      </c>
      <c r="D31" t="str">
        <f>_xlfn.XLOOKUP(A31,sheet1!A:A,sheet1!A:A,"Not found",0)</f>
        <v>Not found</v>
      </c>
    </row>
    <row r="32" spans="1:4" ht="15.75" x14ac:dyDescent="0.25">
      <c r="A32" s="1" t="s">
        <v>115</v>
      </c>
      <c r="B32" s="1" t="str">
        <f>_xlfn.XLOOKUP(A32,[1]Sheet1!$A:$A,[1]Sheet1!$B:$B,"Not found",0)</f>
        <v>Not found</v>
      </c>
      <c r="C32" s="1" t="str">
        <f>_xlfn.XLOOKUP(A32,[1]Sheet1!$B:$B,[1]Sheet1!$A:$A,"Not found",0)</f>
        <v>InventItemPriceStaging</v>
      </c>
      <c r="D32" t="str">
        <f>_xlfn.XLOOKUP(A32,sheet1!A:A,sheet1!A:A,"Not found",0)</f>
        <v>Not found</v>
      </c>
    </row>
    <row r="33" spans="1:4" ht="15.75" x14ac:dyDescent="0.25">
      <c r="A33" s="1" t="s">
        <v>116</v>
      </c>
      <c r="B33" s="1" t="str">
        <f>_xlfn.XLOOKUP(A33,[1]Sheet1!$A:$A,[1]Sheet1!$B:$B,"Not found",0)</f>
        <v>Not found</v>
      </c>
      <c r="C33" s="1" t="str">
        <f>_xlfn.XLOOKUP(A33,[1]Sheet1!$B:$B,[1]Sheet1!$A:$A,"Not found",0)</f>
        <v>InventItemPriceV2Staging</v>
      </c>
      <c r="D33" t="str">
        <f>_xlfn.XLOOKUP(A33,sheet1!A:A,sheet1!A:A,"Not found",0)</f>
        <v>Not found</v>
      </c>
    </row>
    <row r="34" spans="1:4" ht="15.75" x14ac:dyDescent="0.25">
      <c r="A34" s="1" t="s">
        <v>117</v>
      </c>
      <c r="B34" s="1" t="str">
        <f>_xlfn.XLOOKUP(A34,[1]Sheet1!$A:$A,[1]Sheet1!$B:$B,"Not found",0)</f>
        <v>Not found</v>
      </c>
      <c r="C34" s="1" t="str">
        <f>_xlfn.XLOOKUP(A34,[1]Sheet1!$B:$B,[1]Sheet1!$A:$A,"Not found",0)</f>
        <v>ItemThresholdSetupBySalesChannel_GNLNStaging</v>
      </c>
      <c r="D34" t="str">
        <f>_xlfn.XLOOKUP(A34,sheet1!A:A,sheet1!A:A,"Not found",0)</f>
        <v>Not found</v>
      </c>
    </row>
    <row r="35" spans="1:4" ht="15.75" x14ac:dyDescent="0.25">
      <c r="A35" s="1" t="s">
        <v>118</v>
      </c>
      <c r="B35" s="1" t="str">
        <f>_xlfn.XLOOKUP(A35,[1]Sheet1!$A:$A,[1]Sheet1!$B:$B,"Not found",0)</f>
        <v>Not found</v>
      </c>
      <c r="C35" s="1" t="str">
        <f>_xlfn.XLOOKUP(A35,[1]Sheet1!$B:$B,[1]Sheet1!$A:$A,"Not found",0)</f>
        <v>ReturnOrderHeaderStaging</v>
      </c>
      <c r="D35" t="str">
        <f>_xlfn.XLOOKUP(A35,sheet1!A:A,sheet1!A:A,"Not found",0)</f>
        <v>Not found</v>
      </c>
    </row>
    <row r="36" spans="1:4" ht="15.75" x14ac:dyDescent="0.25">
      <c r="A36" s="1" t="s">
        <v>119</v>
      </c>
      <c r="B36" s="1" t="str">
        <f>_xlfn.XLOOKUP(A36,[1]Sheet1!$A:$A,[1]Sheet1!$B:$B,"Not found",0)</f>
        <v>Not found</v>
      </c>
      <c r="C36" s="1" t="str">
        <f>_xlfn.XLOOKUP(A36,[1]Sheet1!$B:$B,[1]Sheet1!$A:$A,"Not found",0)</f>
        <v>ReturnOrderLineStaging</v>
      </c>
      <c r="D36" t="str">
        <f>_xlfn.XLOOKUP(A36,sheet1!A:A,sheet1!A:A,"Not found",0)</f>
        <v>Not found</v>
      </c>
    </row>
    <row r="37" spans="1:4" ht="15.75" x14ac:dyDescent="0.25">
      <c r="A37" s="1" t="s">
        <v>120</v>
      </c>
      <c r="B37" s="1" t="str">
        <f>_xlfn.XLOOKUP(A37,[1]Sheet1!$A:$A,[1]Sheet1!$B:$B,"Not found",0)</f>
        <v>Not found</v>
      </c>
      <c r="C37" s="1" t="str">
        <f>_xlfn.XLOOKUP(A37,[1]Sheet1!$B:$B,[1]Sheet1!$A:$A,"Not found",0)</f>
        <v>SalesChargeStaging</v>
      </c>
      <c r="D37" t="str">
        <f>_xlfn.XLOOKUP(A37,sheet1!A:A,sheet1!A:A,"Not found",0)</f>
        <v>Not found</v>
      </c>
    </row>
    <row r="38" spans="1:4" ht="15.75" x14ac:dyDescent="0.25">
      <c r="A38" s="1" t="s">
        <v>121</v>
      </c>
      <c r="B38" s="1" t="str">
        <f>_xlfn.XLOOKUP(A38,[1]Sheet1!$A:$A,[1]Sheet1!$B:$B,"Not found",0)</f>
        <v>Not found</v>
      </c>
      <c r="C38" s="1" t="str">
        <f>_xlfn.XLOOKUP(A38,[1]Sheet1!$B:$B,[1]Sheet1!$A:$A,"Not found",0)</f>
        <v>SalesInvoiceHeaderV2Staging</v>
      </c>
      <c r="D38" t="str">
        <f>_xlfn.XLOOKUP(A38,sheet1!A:A,sheet1!A:A,"Not found",0)</f>
        <v>Not found</v>
      </c>
    </row>
    <row r="39" spans="1:4" ht="15.75" x14ac:dyDescent="0.25">
      <c r="A39" s="1" t="s">
        <v>122</v>
      </c>
      <c r="B39" s="1" t="str">
        <f>_xlfn.XLOOKUP(A39,[1]Sheet1!$A:$A,[1]Sheet1!$B:$B,"Not found",0)</f>
        <v>Not found</v>
      </c>
      <c r="C39" s="1" t="str">
        <f>_xlfn.XLOOKUP(A39,[1]Sheet1!$B:$B,[1]Sheet1!$A:$A,"Not found",0)</f>
        <v>SalesInvoiceLineV3Staging</v>
      </c>
      <c r="D39" t="str">
        <f>_xlfn.XLOOKUP(A39,sheet1!A:A,sheet1!A:A,"Not found",0)</f>
        <v>Not found</v>
      </c>
    </row>
    <row r="40" spans="1:4" ht="15.75" x14ac:dyDescent="0.25">
      <c r="A40" s="1" t="s">
        <v>123</v>
      </c>
      <c r="B40" s="1" t="str">
        <f>_xlfn.XLOOKUP(A40,[1]Sheet1!$A:$A,[1]Sheet1!$B:$B,"Not found",0)</f>
        <v>Not found</v>
      </c>
      <c r="C40" s="1" t="str">
        <f>_xlfn.XLOOKUP(A40,[1]Sheet1!$B:$B,[1]Sheet1!$A:$A,"Not found",0)</f>
        <v>SalesLineStaging</v>
      </c>
      <c r="D40" t="str">
        <f>_xlfn.XLOOKUP(A40,sheet1!A:A,sheet1!A:A,"Not found",0)</f>
        <v>Not found</v>
      </c>
    </row>
    <row r="41" spans="1:4" ht="15.75" x14ac:dyDescent="0.25">
      <c r="A41" s="1" t="s">
        <v>124</v>
      </c>
      <c r="B41" s="1" t="str">
        <f>_xlfn.XLOOKUP(A41,[1]Sheet1!$A:$A,[1]Sheet1!$B:$B,"Not found",0)</f>
        <v>Not found</v>
      </c>
      <c r="C41" s="1" t="str">
        <f>_xlfn.XLOOKUP(A41,[1]Sheet1!$B:$B,[1]Sheet1!$A:$A,"Not found",0)</f>
        <v>SalesOpenSalesPriceJournalLineV2Staging</v>
      </c>
      <c r="D41" t="str">
        <f>_xlfn.XLOOKUP(A41,sheet1!A:A,sheet1!A:A,"Not found",0)</f>
        <v>Not found</v>
      </c>
    </row>
    <row r="42" spans="1:4" ht="15.75" x14ac:dyDescent="0.25">
      <c r="A42" s="1" t="s">
        <v>125</v>
      </c>
      <c r="B42" s="1" t="str">
        <f>_xlfn.XLOOKUP(A42,[1]Sheet1!$A:$A,[1]Sheet1!$B:$B,"Not found",0)</f>
        <v>Not found</v>
      </c>
      <c r="C42" s="1" t="str">
        <f>_xlfn.XLOOKUP(A42,[1]Sheet1!$B:$B,[1]Sheet1!$A:$A,"Not found",0)</f>
        <v>SalesOrderHeaderChargeV2Staging</v>
      </c>
      <c r="D42" t="str">
        <f>_xlfn.XLOOKUP(A42,sheet1!A:A,sheet1!A:A,"Not found",0)</f>
        <v>Not found</v>
      </c>
    </row>
    <row r="43" spans="1:4" ht="15.75" x14ac:dyDescent="0.25">
      <c r="A43" s="1" t="s">
        <v>126</v>
      </c>
      <c r="B43" s="1" t="str">
        <f>_xlfn.XLOOKUP(A43,[1]Sheet1!$A:$A,[1]Sheet1!$B:$B,"Not found",0)</f>
        <v>Not found</v>
      </c>
      <c r="C43" s="1" t="str">
        <f>_xlfn.XLOOKUP(A43,[1]Sheet1!$B:$B,[1]Sheet1!$A:$A,"Not found",0)</f>
        <v>SalesOrderHeaderV2Staging</v>
      </c>
      <c r="D43" t="str">
        <f>_xlfn.XLOOKUP(A43,sheet1!A:A,sheet1!A:A,"Not found",0)</f>
        <v>Not found</v>
      </c>
    </row>
    <row r="44" spans="1:4" ht="15.75" x14ac:dyDescent="0.25">
      <c r="A44" s="1" t="s">
        <v>127</v>
      </c>
      <c r="B44" s="1" t="str">
        <f>_xlfn.XLOOKUP(A44,[1]Sheet1!$A:$A,[1]Sheet1!$B:$B,"Not found",0)</f>
        <v>Not found</v>
      </c>
      <c r="C44" s="1" t="str">
        <f>_xlfn.XLOOKUP(A44,[1]Sheet1!$B:$B,[1]Sheet1!$A:$A,"Not found",0)</f>
        <v>SalesOrderLineV2Staging</v>
      </c>
      <c r="D44" t="str">
        <f>_xlfn.XLOOKUP(A44,sheet1!A:A,sheet1!A:A,"Not found",0)</f>
        <v>Not found</v>
      </c>
    </row>
    <row r="45" spans="1:4" ht="15.75" x14ac:dyDescent="0.25">
      <c r="A45" s="1" t="s">
        <v>128</v>
      </c>
      <c r="B45" s="1" t="str">
        <f>_xlfn.XLOOKUP(A45,[1]Sheet1!$A:$A,[1]Sheet1!$B:$B,"Not found",0)</f>
        <v>Not found</v>
      </c>
      <c r="C45" s="1" t="str">
        <f>_xlfn.XLOOKUP(A45,[1]Sheet1!$B:$B,[1]Sheet1!$A:$A,"Not found",0)</f>
        <v>SalesOrderOriginStaging</v>
      </c>
      <c r="D45" t="str">
        <f>_xlfn.XLOOKUP(A45,sheet1!A:A,sheet1!A:A,"Not found",0)</f>
        <v>Not found</v>
      </c>
    </row>
    <row r="46" spans="1:4" ht="15.75" x14ac:dyDescent="0.25">
      <c r="A46" s="1" t="s">
        <v>129</v>
      </c>
      <c r="B46" s="1" t="str">
        <f>_xlfn.XLOOKUP(A46,[1]Sheet1!$A:$A,[1]Sheet1!$B:$B,"Not found",0)</f>
        <v>Not found</v>
      </c>
      <c r="C46" s="1" t="str">
        <f>_xlfn.XLOOKUP(A46,[1]Sheet1!$B:$B,[1]Sheet1!$A:$A,"Not found",0)</f>
        <v>SalesPackingSlipTrackingInformationStaging</v>
      </c>
      <c r="D46" t="str">
        <f>_xlfn.XLOOKUP(A46,sheet1!A:A,sheet1!A:A,"Not found",0)</f>
        <v>Not found</v>
      </c>
    </row>
    <row r="47" spans="1:4" ht="15.75" x14ac:dyDescent="0.25">
      <c r="A47" s="1" t="s">
        <v>130</v>
      </c>
      <c r="B47" s="1" t="str">
        <f>_xlfn.XLOOKUP(A47,[1]Sheet1!$A:$A,[1]Sheet1!$B:$B,"Not found",0)</f>
        <v>Not found</v>
      </c>
      <c r="C47" s="1" t="str">
        <f>_xlfn.XLOOKUP(A47,[1]Sheet1!$B:$B,[1]Sheet1!$A:$A,"Not found",0)</f>
        <v>SalesPriceAgreementStaging</v>
      </c>
      <c r="D47" t="str">
        <f>_xlfn.XLOOKUP(A47,sheet1!A:A,sheet1!A:A,"Not found",0)</f>
        <v>Not found</v>
      </c>
    </row>
    <row r="48" spans="1:4" ht="15.75" x14ac:dyDescent="0.25">
      <c r="A48" s="1" t="s">
        <v>131</v>
      </c>
      <c r="B48" s="1" t="str">
        <f>_xlfn.XLOOKUP(A48,[1]Sheet1!$A:$A,[1]Sheet1!$B:$B,"Not found",0)</f>
        <v>Not found</v>
      </c>
      <c r="C48" s="1" t="str">
        <f>_xlfn.XLOOKUP(A48,[1]Sheet1!$B:$B,[1]Sheet1!$A:$A,"Not found",0)</f>
        <v>SalesQuotationHeaderV2Staging</v>
      </c>
      <c r="D48" t="str">
        <f>_xlfn.XLOOKUP(A48,sheet1!A:A,sheet1!A:A,"Not found",0)</f>
        <v>Not found</v>
      </c>
    </row>
    <row r="49" spans="1:4" ht="15.75" x14ac:dyDescent="0.25">
      <c r="A49" s="1" t="s">
        <v>132</v>
      </c>
      <c r="B49" s="1" t="str">
        <f>_xlfn.XLOOKUP(A49,[1]Sheet1!$A:$A,[1]Sheet1!$B:$B,"Not found",0)</f>
        <v>Not found</v>
      </c>
      <c r="C49" s="1" t="str">
        <f>_xlfn.XLOOKUP(A49,[1]Sheet1!$B:$B,[1]Sheet1!$A:$A,"Not found",0)</f>
        <v>SalesTableStaging</v>
      </c>
      <c r="D49" t="str">
        <f>_xlfn.XLOOKUP(A49,sheet1!A:A,sheet1!A:A,"Not found",0)</f>
        <v>Not found</v>
      </c>
    </row>
    <row r="50" spans="1:4" ht="15.75" x14ac:dyDescent="0.25">
      <c r="A50" s="1" t="s">
        <v>133</v>
      </c>
      <c r="B50" s="1" t="str">
        <f>_xlfn.XLOOKUP(A50,[1]Sheet1!$A:$A,[1]Sheet1!$B:$B,"Not found",0)</f>
        <v>Not found</v>
      </c>
      <c r="C50" s="1" t="str">
        <f>_xlfn.XLOOKUP(A50,[1]Sheet1!$B:$B,[1]Sheet1!$A:$A,"Not found",0)</f>
        <v>PurchPurchaseOrderHeaderV2Staging</v>
      </c>
      <c r="D50" t="str">
        <f>_xlfn.XLOOKUP(A50,sheet1!A:A,sheet1!A:A,"Not found",0)</f>
        <v>Not found</v>
      </c>
    </row>
    <row r="51" spans="1:4" ht="15.75" x14ac:dyDescent="0.25">
      <c r="A51" s="1" t="s">
        <v>134</v>
      </c>
      <c r="B51" s="1" t="str">
        <f>_xlfn.XLOOKUP(A51,[1]Sheet1!$A:$A,[1]Sheet1!$B:$B,"Not found",0)</f>
        <v>Not found</v>
      </c>
      <c r="C51" s="1" t="str">
        <f>_xlfn.XLOOKUP(A51,[1]Sheet1!$B:$B,[1]Sheet1!$A:$A,"Not found",0)</f>
        <v>PurchPurchaseOrderLineV2Staging</v>
      </c>
      <c r="D51" t="str">
        <f>_xlfn.XLOOKUP(A51,sheet1!A:A,sheet1!A:A,"Not found",0)</f>
        <v>Not found</v>
      </c>
    </row>
    <row r="52" spans="1:4" ht="15.75" x14ac:dyDescent="0.25">
      <c r="A52" s="1" t="s">
        <v>135</v>
      </c>
      <c r="B52" s="1" t="str">
        <f>_xlfn.XLOOKUP(A52,[1]Sheet1!$A:$A,[1]Sheet1!$B:$B,"Not found",0)</f>
        <v>Not found</v>
      </c>
      <c r="C52" s="1" t="str">
        <f>_xlfn.XLOOKUP(A52,[1]Sheet1!$B:$B,[1]Sheet1!$A:$A,"Not found",0)</f>
        <v>VendorInvoiceHeaderStaging</v>
      </c>
      <c r="D52" t="str">
        <f>_xlfn.XLOOKUP(A52,sheet1!A:A,sheet1!A:A,"Not found",0)</f>
        <v>Not found</v>
      </c>
    </row>
    <row r="53" spans="1:4" ht="15.75" x14ac:dyDescent="0.25">
      <c r="A53" s="1" t="s">
        <v>136</v>
      </c>
      <c r="B53" s="1" t="str">
        <f>_xlfn.XLOOKUP(A53,[1]Sheet1!$A:$A,[1]Sheet1!$B:$B,"Not found",0)</f>
        <v>Not found</v>
      </c>
      <c r="C53" s="1" t="str">
        <f>_xlfn.XLOOKUP(A53,[1]Sheet1!$B:$B,[1]Sheet1!$A:$A,"Not found",0)</f>
        <v>VendorInvoiceLineStaging</v>
      </c>
      <c r="D53" t="str">
        <f>_xlfn.XLOOKUP(A53,sheet1!A:A,sheet1!A:A,"Not found",0)</f>
        <v>Not found</v>
      </c>
    </row>
    <row r="54" spans="1:4" ht="15.75" x14ac:dyDescent="0.25">
      <c r="A54" s="1" t="s">
        <v>137</v>
      </c>
      <c r="B54" s="1" t="str">
        <f>_xlfn.XLOOKUP(A54,[1]Sheet1!$A:$A,[1]Sheet1!$B:$B,"Not found",0)</f>
        <v>Not found</v>
      </c>
      <c r="C54" s="1" t="str">
        <f>_xlfn.XLOOKUP(A54,[1]Sheet1!$B:$B,[1]Sheet1!$A:$A,"Not found",0)</f>
        <v>VendorPaymentJournalHeaderStaging</v>
      </c>
      <c r="D54" t="str">
        <f>_xlfn.XLOOKUP(A54,sheet1!A:A,sheet1!A:A,"Not found",0)</f>
        <v>Not found</v>
      </c>
    </row>
    <row r="55" spans="1:4" ht="15.75" x14ac:dyDescent="0.25">
      <c r="A55" s="1" t="s">
        <v>138</v>
      </c>
      <c r="B55" s="1" t="str">
        <f>_xlfn.XLOOKUP(A55,[1]Sheet1!$A:$A,[1]Sheet1!$B:$B,"Not found",0)</f>
        <v>Not found</v>
      </c>
      <c r="C55" s="1" t="str">
        <f>_xlfn.XLOOKUP(A55,[1]Sheet1!$B:$B,[1]Sheet1!$A:$A,"Not found",0)</f>
        <v>VendorPaymentJournalLineStaging</v>
      </c>
      <c r="D55" t="str">
        <f>_xlfn.XLOOKUP(A55,sheet1!A:A,sheet1!A:A,"Not found",0)</f>
        <v>Not found</v>
      </c>
    </row>
    <row r="56" spans="1:4" ht="15.75" x14ac:dyDescent="0.25">
      <c r="A56" s="1" t="s">
        <v>139</v>
      </c>
      <c r="B56" s="1" t="str">
        <f>_xlfn.XLOOKUP(A56,[1]Sheet1!$A:$A,[1]Sheet1!$B:$B,"Not found",0)</f>
        <v>Not found</v>
      </c>
      <c r="C56" s="1" t="str">
        <f>_xlfn.XLOOKUP(A56,[1]Sheet1!$B:$B,[1]Sheet1!$A:$A,"Not found",0)</f>
        <v>VendProductReceiptHeaderStaging</v>
      </c>
      <c r="D56" t="str">
        <f>_xlfn.XLOOKUP(A56,sheet1!A:A,sheet1!A:A,"Not found",0)</f>
        <v>Not found</v>
      </c>
    </row>
    <row r="57" spans="1:4" ht="15.75" x14ac:dyDescent="0.25">
      <c r="A57" s="1" t="s">
        <v>140</v>
      </c>
      <c r="B57" s="1" t="str">
        <f>_xlfn.XLOOKUP(A57,[1]Sheet1!$A:$A,[1]Sheet1!$B:$B,"Not found",0)</f>
        <v>Not found</v>
      </c>
      <c r="C57" s="1" t="str">
        <f>_xlfn.XLOOKUP(A57,[1]Sheet1!$B:$B,[1]Sheet1!$A:$A,"Not found",0)</f>
        <v>VendProductReceiptLineStaging</v>
      </c>
      <c r="D57" t="str">
        <f>_xlfn.XLOOKUP(A57,sheet1!A:A,sheet1!A:A,"Not found",0)</f>
        <v>Not found</v>
      </c>
    </row>
    <row r="58" spans="1:4" ht="15.75" x14ac:dyDescent="0.25">
      <c r="A58" s="1" t="s">
        <v>141</v>
      </c>
      <c r="B58" s="1" t="str">
        <f>_xlfn.XLOOKUP(A58,[1]Sheet1!$A:$A,[1]Sheet1!$B:$B,"Not found",0)</f>
        <v>Not found</v>
      </c>
      <c r="C58" s="1" t="str">
        <f>_xlfn.XLOOKUP(A58,[1]Sheet1!$B:$B,[1]Sheet1!$A:$A,"Not found",0)</f>
        <v>VendTransStaging</v>
      </c>
      <c r="D58" t="str">
        <f>_xlfn.XLOOKUP(A58,sheet1!A:A,sheet1!A:A,"Not found",0)</f>
        <v>Not found</v>
      </c>
    </row>
    <row r="59" spans="1:4" ht="15.75" x14ac:dyDescent="0.25">
      <c r="A59" s="1" t="s">
        <v>142</v>
      </c>
      <c r="B59" s="1" t="str">
        <f>_xlfn.XLOOKUP(A59,[1]Sheet1!$A:$A,[1]Sheet1!$B:$B,"Not found",0)</f>
        <v>Not found</v>
      </c>
      <c r="C59" s="1" t="str">
        <f>_xlfn.XLOOKUP(A59,[1]Sheet1!$B:$B,[1]Sheet1!$A:$A,"Not found",0)</f>
        <v>GeneralJournalAccountEntryReportingStaging</v>
      </c>
      <c r="D59" t="str">
        <f>_xlfn.XLOOKUP(A59,sheet1!A:A,sheet1!A:A,"Not found",0)</f>
        <v>Not found</v>
      </c>
    </row>
    <row r="60" spans="1:4" ht="15.75" x14ac:dyDescent="0.25">
      <c r="A60" s="1" t="s">
        <v>143</v>
      </c>
      <c r="B60" s="1" t="str">
        <f>_xlfn.XLOOKUP(A60,[1]Sheet1!$A:$A,[1]Sheet1!$B:$B,"Not found",0)</f>
        <v>Not found</v>
      </c>
      <c r="C60" s="1" t="str">
        <f>_xlfn.XLOOKUP(A60,[1]Sheet1!$B:$B,[1]Sheet1!$A:$A,"Not found",0)</f>
        <v>GeneralJournalAccountEntryStaging</v>
      </c>
      <c r="D60" t="str">
        <f>_xlfn.XLOOKUP(A60,sheet1!A:A,sheet1!A:A,"Not found",0)</f>
        <v>Not found</v>
      </c>
    </row>
    <row r="61" spans="1:4" ht="15.75" x14ac:dyDescent="0.25">
      <c r="A61" s="1" t="s">
        <v>144</v>
      </c>
      <c r="B61" s="1" t="str">
        <f>_xlfn.XLOOKUP(A61,[1]Sheet1!$A:$A,[1]Sheet1!$B:$B,"Not found",0)</f>
        <v>Not found</v>
      </c>
      <c r="C61" s="1" t="str">
        <f>_xlfn.XLOOKUP(A61,[1]Sheet1!$B:$B,[1]Sheet1!$A:$A,"Not found",0)</f>
        <v>MainAccountStaging</v>
      </c>
      <c r="D61" t="str">
        <f>_xlfn.XLOOKUP(A61,sheet1!A:A,sheet1!A:A,"Not found",0)</f>
        <v>Not found</v>
      </c>
    </row>
    <row r="62" spans="1:4" ht="15.75" x14ac:dyDescent="0.25">
      <c r="A62" s="1" t="s">
        <v>145</v>
      </c>
      <c r="B62" s="1" t="str">
        <f>_xlfn.XLOOKUP(A62,[1]Sheet1!$A:$A,[1]Sheet1!$B:$B,"Not found",0)</f>
        <v>Not found</v>
      </c>
      <c r="C62" s="1" t="str">
        <f>_xlfn.XLOOKUP(A62,[1]Sheet1!$B:$B,[1]Sheet1!$A:$A,"Not found",0)</f>
        <v>MIT_AccountingDistributionStaging</v>
      </c>
      <c r="D62" t="str">
        <f>_xlfn.XLOOKUP(A62,sheet1!A:A,sheet1!A:A,"Not found",0)</f>
        <v>Not found</v>
      </c>
    </row>
    <row r="63" spans="1:4" ht="15.75" x14ac:dyDescent="0.25">
      <c r="A63" s="1" t="s">
        <v>146</v>
      </c>
      <c r="B63" s="1" t="str">
        <f>_xlfn.XLOOKUP(A63,[1]Sheet1!$A:$A,[1]Sheet1!$B:$B,"Not found",0)</f>
        <v>Not found</v>
      </c>
      <c r="C63" s="1" t="str">
        <f>_xlfn.XLOOKUP(A63,[1]Sheet1!$B:$B,[1]Sheet1!$A:$A,"Not found",0)</f>
        <v>MIT_DimensionAttributeLevelValueStaging</v>
      </c>
      <c r="D63" t="str">
        <f>_xlfn.XLOOKUP(A63,sheet1!A:A,sheet1!A:A,"Not found",0)</f>
        <v>Not found</v>
      </c>
    </row>
    <row r="64" spans="1:4" ht="15.75" x14ac:dyDescent="0.25">
      <c r="A64" s="1" t="s">
        <v>147</v>
      </c>
      <c r="B64" s="1" t="str">
        <f>_xlfn.XLOOKUP(A64,[1]Sheet1!$A:$A,[1]Sheet1!$B:$B,"Not found",0)</f>
        <v>Not found</v>
      </c>
      <c r="C64" s="1" t="str">
        <f>_xlfn.XLOOKUP(A64,[1]Sheet1!$B:$B,[1]Sheet1!$A:$A,"Not found",0)</f>
        <v>MIT_DIMENSIONATTRIBUTEVALUECOMBINATIONStaging</v>
      </c>
      <c r="D64" t="str">
        <f>_xlfn.XLOOKUP(A64,sheet1!A:A,sheet1!A:A,"Not found",0)</f>
        <v>Not found</v>
      </c>
    </row>
    <row r="65" spans="1:4" ht="15.75" x14ac:dyDescent="0.25">
      <c r="A65" s="1" t="s">
        <v>148</v>
      </c>
      <c r="B65" s="1" t="str">
        <f>_xlfn.XLOOKUP(A65,[1]Sheet1!$A:$A,[1]Sheet1!$B:$B,"Not found",0)</f>
        <v>Not found</v>
      </c>
      <c r="C65" s="1" t="str">
        <f>_xlfn.XLOOKUP(A65,[1]Sheet1!$B:$B,[1]Sheet1!$A:$A,"Not found",0)</f>
        <v>MIT_DIMENSIONATTRIBUTEVALUEGROUPCOMBINATIONStaging</v>
      </c>
      <c r="D65" t="str">
        <f>_xlfn.XLOOKUP(A65,sheet1!A:A,sheet1!A:A,"Not found",0)</f>
        <v>Not found</v>
      </c>
    </row>
    <row r="66" spans="1:4" ht="15.75" x14ac:dyDescent="0.25">
      <c r="A66" s="1" t="s">
        <v>149</v>
      </c>
      <c r="B66" s="1" t="str">
        <f>_xlfn.XLOOKUP(A66,[1]Sheet1!$A:$A,[1]Sheet1!$B:$B,"Not found",0)</f>
        <v>Not found</v>
      </c>
      <c r="C66" s="1" t="str">
        <f>_xlfn.XLOOKUP(A66,[1]Sheet1!$B:$B,[1]Sheet1!$A:$A,"Not found",0)</f>
        <v>MIT_DimensionAttributeValueGroupStaging</v>
      </c>
      <c r="D66" t="str">
        <f>_xlfn.XLOOKUP(A66,sheet1!A:A,sheet1!A:A,"Not found",0)</f>
        <v>Not found</v>
      </c>
    </row>
    <row r="67" spans="1:4" ht="15.75" x14ac:dyDescent="0.25">
      <c r="A67" s="1" t="s">
        <v>150</v>
      </c>
      <c r="B67" s="1" t="str">
        <f>_xlfn.XLOOKUP(A67,[1]Sheet1!$A:$A,[1]Sheet1!$B:$B,"Not found",0)</f>
        <v>Not found</v>
      </c>
      <c r="C67" s="1" t="str">
        <f>_xlfn.XLOOKUP(A67,[1]Sheet1!$B:$B,[1]Sheet1!$A:$A,"Not found",0)</f>
        <v>MIT_DIMENSIONATTRIBUTEVALUESETITEMVIEWStaging</v>
      </c>
      <c r="D67" t="str">
        <f>_xlfn.XLOOKUP(A67,sheet1!A:A,sheet1!A:A,"Not found",0)</f>
        <v>Not found</v>
      </c>
    </row>
    <row r="68" spans="1:4" ht="15.75" x14ac:dyDescent="0.25">
      <c r="A68" s="1" t="s">
        <v>151</v>
      </c>
      <c r="B68" s="1" t="str">
        <f>_xlfn.XLOOKUP(A68,[1]Sheet1!$A:$A,[1]Sheet1!$B:$B,"Not found",0)</f>
        <v>Not found</v>
      </c>
      <c r="C68" s="1" t="str">
        <f>_xlfn.XLOOKUP(A68,[1]Sheet1!$B:$B,[1]Sheet1!$A:$A,"Not found",0)</f>
        <v>MIT_DIMENSIONATTRIBUTEVALUESETStaging</v>
      </c>
      <c r="D68" t="str">
        <f>_xlfn.XLOOKUP(A68,sheet1!A:A,sheet1!A:A,"Not found",0)</f>
        <v>Not found</v>
      </c>
    </row>
    <row r="69" spans="1:4" ht="15.75" x14ac:dyDescent="0.25">
      <c r="A69" s="1" t="s">
        <v>152</v>
      </c>
      <c r="B69" s="1" t="str">
        <f>_xlfn.XLOOKUP(A69,[1]Sheet1!$A:$A,[1]Sheet1!$B:$B,"Not found",0)</f>
        <v>Not found</v>
      </c>
      <c r="C69" s="1" t="str">
        <f>_xlfn.XLOOKUP(A69,[1]Sheet1!$B:$B,[1]Sheet1!$A:$A,"Not found",0)</f>
        <v>MIT_DIMENSIONHIERARCHYLEVELStaging</v>
      </c>
      <c r="D69" t="str">
        <f>_xlfn.XLOOKUP(A69,sheet1!A:A,sheet1!A:A,"Not found",0)</f>
        <v>Not found</v>
      </c>
    </row>
    <row r="70" spans="1:4" ht="15.75" x14ac:dyDescent="0.25">
      <c r="A70" s="1" t="s">
        <v>153</v>
      </c>
      <c r="B70" s="1" t="str">
        <f>_xlfn.XLOOKUP(A70,[1]Sheet1!$A:$A,[1]Sheet1!$B:$B,"Not found",0)</f>
        <v>Not found</v>
      </c>
      <c r="C70" s="1" t="str">
        <f>_xlfn.XLOOKUP(A70,[1]Sheet1!$B:$B,[1]Sheet1!$A:$A,"Not found",0)</f>
        <v>MIT_DIMENSIONHIERARCHYLEVELVIEWStaging</v>
      </c>
      <c r="D70" t="str">
        <f>_xlfn.XLOOKUP(A70,sheet1!A:A,sheet1!A:A,"Not found",0)</f>
        <v>Not found</v>
      </c>
    </row>
    <row r="71" spans="1:4" ht="15.75" x14ac:dyDescent="0.25">
      <c r="A71" s="1" t="s">
        <v>154</v>
      </c>
      <c r="B71" s="1" t="str">
        <f>_xlfn.XLOOKUP(A71,[1]Sheet1!$A:$A,[1]Sheet1!$B:$B,"Not found",0)</f>
        <v>Not found</v>
      </c>
      <c r="C71" s="1" t="str">
        <f>_xlfn.XLOOKUP(A71,[1]Sheet1!$B:$B,[1]Sheet1!$A:$A,"Not found",0)</f>
        <v>MIT_DIMENSIONHIERARCHYStaging</v>
      </c>
      <c r="D71" t="str">
        <f>_xlfn.XLOOKUP(A71,sheet1!A:A,sheet1!A:A,"Not found",0)</f>
        <v>Not found</v>
      </c>
    </row>
    <row r="72" spans="1:4" ht="15.75" x14ac:dyDescent="0.25">
      <c r="A72" s="1" t="s">
        <v>155</v>
      </c>
      <c r="B72" s="1" t="str">
        <f>_xlfn.XLOOKUP(A72,[1]Sheet1!$A:$A,[1]Sheet1!$B:$B,"Not found",0)</f>
        <v>Not found</v>
      </c>
      <c r="C72" s="1" t="str">
        <f>_xlfn.XLOOKUP(A72,[1]Sheet1!$B:$B,[1]Sheet1!$A:$A,"Not found",0)</f>
        <v>MIT_GeneralJournalEntryStaging</v>
      </c>
      <c r="D72" t="str">
        <f>_xlfn.XLOOKUP(A72,sheet1!A:A,sheet1!A:A,"Not found",0)</f>
        <v>Not found</v>
      </c>
    </row>
    <row r="73" spans="1:4" ht="15.75" x14ac:dyDescent="0.25">
      <c r="A73" s="1" t="s">
        <v>156</v>
      </c>
      <c r="B73" s="1" t="str">
        <f>_xlfn.XLOOKUP(A73,[1]Sheet1!$A:$A,[1]Sheet1!$B:$B,"Not found",0)</f>
        <v>Not found</v>
      </c>
      <c r="C73" s="1" t="str">
        <f>_xlfn.XLOOKUP(A73,[1]Sheet1!$B:$B,[1]Sheet1!$A:$A,"Not found",0)</f>
        <v>MIT_InventDimCombinationStaging</v>
      </c>
      <c r="D73" t="str">
        <f>_xlfn.XLOOKUP(A73,sheet1!A:A,sheet1!A:A,"Not found",0)</f>
        <v>Not found</v>
      </c>
    </row>
    <row r="74" spans="1:4" ht="15.75" x14ac:dyDescent="0.25">
      <c r="A74" s="1" t="s">
        <v>157</v>
      </c>
      <c r="B74" s="1" t="str">
        <f>_xlfn.XLOOKUP(A74,[1]Sheet1!$A:$A,[1]Sheet1!$B:$B,"Not found",0)</f>
        <v>Not found</v>
      </c>
      <c r="C74" s="1" t="str">
        <f>_xlfn.XLOOKUP(A74,[1]Sheet1!$B:$B,[1]Sheet1!$A:$A,"Not found",0)</f>
        <v>BusinessDocumentTaxTransactionStaging</v>
      </c>
      <c r="D74" t="str">
        <f>_xlfn.XLOOKUP(A74,sheet1!A:A,sheet1!A:A,"Not found",0)</f>
        <v>Not found</v>
      </c>
    </row>
    <row r="75" spans="1:4" ht="15.75" x14ac:dyDescent="0.25">
      <c r="A75" s="1" t="s">
        <v>158</v>
      </c>
      <c r="B75" s="1" t="str">
        <f>_xlfn.XLOOKUP(A75,[1]Sheet1!$A:$A,[1]Sheet1!$B:$B,"Not found",0)</f>
        <v>Not found</v>
      </c>
      <c r="C75" s="1" t="str">
        <f>_xlfn.XLOOKUP(A75,[1]Sheet1!$B:$B,[1]Sheet1!$A:$A,"Not found",0)</f>
        <v>CurrencyStaging</v>
      </c>
      <c r="D75" t="str">
        <f>_xlfn.XLOOKUP(A75,sheet1!A:A,sheet1!A:A,"Not found",0)</f>
        <v>Not found</v>
      </c>
    </row>
    <row r="76" spans="1:4" ht="15.75" x14ac:dyDescent="0.25">
      <c r="A76" s="1" t="s">
        <v>159</v>
      </c>
      <c r="B76" s="1" t="str">
        <f>_xlfn.XLOOKUP(A76,[1]Sheet1!$A:$A,[1]Sheet1!$B:$B,"Not found",0)</f>
        <v>Not found</v>
      </c>
      <c r="C76" s="1" t="str">
        <f>_xlfn.XLOOKUP(A76,[1]Sheet1!$B:$B,[1]Sheet1!$A:$A,"Not found",0)</f>
        <v>DimensionAttributeStaging</v>
      </c>
      <c r="D76" t="str">
        <f>_xlfn.XLOOKUP(A76,sheet1!A:A,sheet1!A:A,"Not found",0)</f>
        <v>Not found</v>
      </c>
    </row>
    <row r="77" spans="1:4" ht="15.75" x14ac:dyDescent="0.25">
      <c r="A77" s="1" t="s">
        <v>160</v>
      </c>
      <c r="B77" s="1" t="str">
        <f>_xlfn.XLOOKUP(A77,[1]Sheet1!$A:$A,[1]Sheet1!$B:$B,"Not found",0)</f>
        <v>Not found</v>
      </c>
      <c r="C77" s="1" t="str">
        <f>_xlfn.XLOOKUP(A77,[1]Sheet1!$B:$B,[1]Sheet1!$A:$A,"Not found",0)</f>
        <v>ExchangeRateEntityStaging</v>
      </c>
      <c r="D77" t="str">
        <f>_xlfn.XLOOKUP(A77,sheet1!A:A,sheet1!A:A,"Not found",0)</f>
        <v>Not found</v>
      </c>
    </row>
    <row r="78" spans="1:4" ht="15.75" x14ac:dyDescent="0.25">
      <c r="A78" s="1" t="s">
        <v>161</v>
      </c>
      <c r="B78" s="1" t="str">
        <f>_xlfn.XLOOKUP(A78,[1]Sheet1!$A:$A,[1]Sheet1!$B:$B,"Not found",0)</f>
        <v>Not found</v>
      </c>
      <c r="C78" s="1" t="str">
        <f>_xlfn.XLOOKUP(A78,[1]Sheet1!$B:$B,[1]Sheet1!$A:$A,"Not found",0)</f>
        <v>FinancialDimensionValueEntityStaging</v>
      </c>
      <c r="D78" t="str">
        <f>_xlfn.XLOOKUP(A78,sheet1!A:A,sheet1!A:A,"Not found",0)</f>
        <v>Not found</v>
      </c>
    </row>
    <row r="79" spans="1:4" ht="15.75" x14ac:dyDescent="0.25">
      <c r="A79" s="1" t="s">
        <v>162</v>
      </c>
      <c r="B79" s="1" t="str">
        <f>_xlfn.XLOOKUP(A79,[1]Sheet1!$A:$A,[1]Sheet1!$B:$B,"Not found",0)</f>
        <v>Not found</v>
      </c>
      <c r="C79" s="1" t="str">
        <f>_xlfn.XLOOKUP(A79,[1]Sheet1!$B:$B,[1]Sheet1!$A:$A,"Not found",0)</f>
        <v>FiscalPeriodStaging</v>
      </c>
      <c r="D79" t="str">
        <f>_xlfn.XLOOKUP(A79,sheet1!A:A,sheet1!A:A,"Not found",0)</f>
        <v>Not found</v>
      </c>
    </row>
    <row r="80" spans="1:4" ht="15.75" x14ac:dyDescent="0.25">
      <c r="A80" s="1" t="s">
        <v>163</v>
      </c>
      <c r="B80" s="1" t="str">
        <f>_xlfn.XLOOKUP(A80,[1]Sheet1!$A:$A,[1]Sheet1!$B:$B,"Not found",0)</f>
        <v>Not found</v>
      </c>
      <c r="C80" s="1" t="str">
        <f>_xlfn.XLOOKUP(A80,[1]Sheet1!$B:$B,[1]Sheet1!$A:$A,"Not found",0)</f>
        <v>GNLNLegalRestrictions_FDD031Staging</v>
      </c>
      <c r="D80" t="str">
        <f>_xlfn.XLOOKUP(A80,sheet1!A:A,sheet1!A:A,"Not found",0)</f>
        <v>Not found</v>
      </c>
    </row>
    <row r="81" spans="1:4" ht="15.75" x14ac:dyDescent="0.25">
      <c r="A81" s="1" t="s">
        <v>164</v>
      </c>
      <c r="B81" s="1" t="str">
        <f>_xlfn.XLOOKUP(A81,[1]Sheet1!$A:$A,[1]Sheet1!$B:$B,"Not found",0)</f>
        <v>Not found</v>
      </c>
      <c r="C81" s="1" t="str">
        <f>_xlfn.XLOOKUP(A81,[1]Sheet1!$B:$B,[1]Sheet1!$A:$A,"Not found",0)</f>
        <v>GNLNProductRestrictionTypes_FDD031Staging</v>
      </c>
      <c r="D81" t="str">
        <f>_xlfn.XLOOKUP(A81,sheet1!A:A,sheet1!A:A,"Not found",0)</f>
        <v>Not found</v>
      </c>
    </row>
    <row r="82" spans="1:4" ht="15.75" x14ac:dyDescent="0.25">
      <c r="A82" s="1" t="s">
        <v>165</v>
      </c>
      <c r="B82" s="1" t="str">
        <f>_xlfn.XLOOKUP(A82,[1]Sheet1!$A:$A,[1]Sheet1!$B:$B,"Not found",0)</f>
        <v>Not found</v>
      </c>
      <c r="C82" s="1" t="str">
        <f>_xlfn.XLOOKUP(A82,[1]Sheet1!$B:$B,[1]Sheet1!$A:$A,"Not found",0)</f>
        <v>GNLNRestrictionTypes_FDD031Staging</v>
      </c>
      <c r="D82" t="str">
        <f>_xlfn.XLOOKUP(A82,sheet1!A:A,sheet1!A:A,"Not found",0)</f>
        <v>Not found</v>
      </c>
    </row>
    <row r="83" spans="1:4" ht="15.75" x14ac:dyDescent="0.25">
      <c r="A83" s="1" t="s">
        <v>166</v>
      </c>
      <c r="B83" s="1" t="str">
        <f>_xlfn.XLOOKUP(A83,[1]Sheet1!$A:$A,[1]Sheet1!$B:$B,"Not found",0)</f>
        <v>Not found</v>
      </c>
      <c r="C83" s="1" t="str">
        <f>_xlfn.XLOOKUP(A83,[1]Sheet1!$B:$B,[1]Sheet1!$A:$A,"Not found",0)</f>
        <v>InventProductGroupStaging</v>
      </c>
      <c r="D83" t="str">
        <f>_xlfn.XLOOKUP(A83,sheet1!A:A,sheet1!A:A,"Not found",0)</f>
        <v>Not found</v>
      </c>
    </row>
    <row r="84" spans="1:4" ht="15.75" x14ac:dyDescent="0.25">
      <c r="A84" s="1" t="s">
        <v>167</v>
      </c>
      <c r="B84" s="1" t="str">
        <f>_xlfn.XLOOKUP(A84,[1]Sheet1!$A:$A,[1]Sheet1!$B:$B,"Not found",0)</f>
        <v>Not found</v>
      </c>
      <c r="C84" s="1" t="str">
        <f>_xlfn.XLOOKUP(A84,[1]Sheet1!$B:$B,[1]Sheet1!$A:$A,"Not found",0)</f>
        <v>OMDepartmentV2Staging</v>
      </c>
      <c r="D84" t="str">
        <f>_xlfn.XLOOKUP(A84,sheet1!A:A,sheet1!A:A,"Not found",0)</f>
        <v>Not found</v>
      </c>
    </row>
    <row r="85" spans="1:4" ht="15.75" x14ac:dyDescent="0.25">
      <c r="A85" s="1" t="s">
        <v>168</v>
      </c>
      <c r="B85" s="1" t="str">
        <f>_xlfn.XLOOKUP(A85,[1]Sheet1!$A:$A,[1]Sheet1!$B:$B,"Not found",0)</f>
        <v>Not found</v>
      </c>
      <c r="C85" s="1" t="str">
        <f>_xlfn.XLOOKUP(A85,[1]Sheet1!$B:$B,[1]Sheet1!$A:$A,"Not found",0)</f>
        <v>OMLegalStaging</v>
      </c>
      <c r="D85" t="str">
        <f>_xlfn.XLOOKUP(A85,sheet1!A:A,sheet1!A:A,"Not found",0)</f>
        <v>Not found</v>
      </c>
    </row>
    <row r="86" spans="1:4" ht="15.75" x14ac:dyDescent="0.25">
      <c r="A86" s="1" t="s">
        <v>169</v>
      </c>
      <c r="B86" s="1" t="str">
        <f>_xlfn.XLOOKUP(A86,[1]Sheet1!$A:$A,[1]Sheet1!$B:$B,"Not found",0)</f>
        <v>Not found</v>
      </c>
      <c r="C86" s="1" t="str">
        <f>_xlfn.XLOOKUP(A86,[1]Sheet1!$B:$B,[1]Sheet1!$A:$A,"Not found",0)</f>
        <v>GNLNCustTransStaging</v>
      </c>
      <c r="D86" t="str">
        <f>_xlfn.XLOOKUP(A86,sheet1!A:A,sheet1!A:A,"Not found",0)</f>
        <v>Not found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A07CF-EEBD-4F4C-ADB4-5E5E07E82C49}">
  <dimension ref="A1:B85"/>
  <sheetViews>
    <sheetView tabSelected="1" workbookViewId="0">
      <selection activeCell="E20" sqref="E20"/>
    </sheetView>
  </sheetViews>
  <sheetFormatPr defaultRowHeight="15" x14ac:dyDescent="0.25"/>
  <cols>
    <col min="1" max="1" width="57.140625" bestFit="1" customWidth="1"/>
  </cols>
  <sheetData>
    <row r="1" spans="1:2" x14ac:dyDescent="0.25">
      <c r="A1" t="s">
        <v>100</v>
      </c>
      <c r="B1" t="str">
        <f>_xlfn.XLOOKUP(A1,sheet1!A:A,sheet1!A:A,"NA",0)</f>
        <v>NA</v>
      </c>
    </row>
    <row r="2" spans="1:2" x14ac:dyDescent="0.25">
      <c r="A2" t="s">
        <v>97</v>
      </c>
      <c r="B2" t="str">
        <f>_xlfn.XLOOKUP(A2,sheet1!A:A,sheet1!A:A,"NA",0)</f>
        <v>VendVendorV2Staging</v>
      </c>
    </row>
    <row r="3" spans="1:2" x14ac:dyDescent="0.25">
      <c r="A3" t="s">
        <v>15</v>
      </c>
      <c r="B3" t="str">
        <f>_xlfn.XLOOKUP(A3,sheet1!A:A,sheet1!A:A,"NA",0)</f>
        <v>DirPartyV2Staging</v>
      </c>
    </row>
    <row r="4" spans="1:2" x14ac:dyDescent="0.25">
      <c r="A4" t="s">
        <v>14</v>
      </c>
      <c r="B4" t="str">
        <f>_xlfn.XLOOKUP(A4,sheet1!A:A,sheet1!A:A,"NA",0)</f>
        <v>DirPartyContactV3Staging</v>
      </c>
    </row>
    <row r="5" spans="1:2" x14ac:dyDescent="0.25">
      <c r="A5" t="s">
        <v>101</v>
      </c>
      <c r="B5" t="str">
        <f>_xlfn.XLOOKUP(A5,sheet1!A:A,sheet1!A:A,"NA",0)</f>
        <v>NA</v>
      </c>
    </row>
    <row r="6" spans="1:2" x14ac:dyDescent="0.25">
      <c r="A6" t="s">
        <v>16</v>
      </c>
      <c r="B6" t="str">
        <f>_xlfn.XLOOKUP(A6,sheet1!A:A,sheet1!A:A,"NA",0)</f>
        <v>EcoResEveryProductStaging</v>
      </c>
    </row>
    <row r="7" spans="1:2" x14ac:dyDescent="0.25">
      <c r="A7" t="s">
        <v>19</v>
      </c>
      <c r="B7" t="str">
        <f>_xlfn.XLOOKUP(A7,sheet1!A:A,sheet1!A:A,"NA",0)</f>
        <v>EcoResProductGlobalTradeItemNumberAssignmentV2Staging</v>
      </c>
    </row>
    <row r="8" spans="1:2" x14ac:dyDescent="0.25">
      <c r="A8" t="s">
        <v>20</v>
      </c>
      <c r="B8" t="str">
        <f>_xlfn.XLOOKUP(A8,sheet1!A:A,sheet1!A:A,"NA",0)</f>
        <v>EcoResProductTranslationStaging</v>
      </c>
    </row>
    <row r="9" spans="1:2" x14ac:dyDescent="0.25">
      <c r="A9" t="s">
        <v>21</v>
      </c>
      <c r="B9" t="str">
        <f>_xlfn.XLOOKUP(A9,sheet1!A:A,sheet1!A:A,"NA",0)</f>
        <v>EcoResProductV2Staging</v>
      </c>
    </row>
    <row r="10" spans="1:2" x14ac:dyDescent="0.25">
      <c r="A10" t="s">
        <v>22</v>
      </c>
      <c r="B10" t="str">
        <f>_xlfn.XLOOKUP(A10,sheet1!A:A,sheet1!A:A,"NA",0)</f>
        <v>EcoResProductVariantV2Staging</v>
      </c>
    </row>
    <row r="11" spans="1:2" x14ac:dyDescent="0.25">
      <c r="A11" t="s">
        <v>23</v>
      </c>
      <c r="B11" t="str">
        <f>_xlfn.XLOOKUP(A11,sheet1!A:A,sheet1!A:A,"NA",0)</f>
        <v>EcoResReleasedProductV2Staging</v>
      </c>
    </row>
    <row r="12" spans="1:2" x14ac:dyDescent="0.25">
      <c r="A12" t="s">
        <v>24</v>
      </c>
      <c r="B12" t="str">
        <f>_xlfn.XLOOKUP(A12,sheet1!A:A,sheet1!A:A,"NA",0)</f>
        <v>EcoResReleasedProductVariantV2Staging</v>
      </c>
    </row>
    <row r="13" spans="1:2" x14ac:dyDescent="0.25">
      <c r="A13" t="s">
        <v>66</v>
      </c>
      <c r="B13" t="str">
        <f>_xlfn.XLOOKUP(A13,sheet1!A:A,sheet1!A:A,"NA",0)</f>
        <v>NmbCANHarmonizeStaging</v>
      </c>
    </row>
    <row r="14" spans="1:2" x14ac:dyDescent="0.25">
      <c r="A14" t="s">
        <v>67</v>
      </c>
      <c r="B14" t="str">
        <f>_xlfn.XLOOKUP(A14,sheet1!A:A,sheet1!A:A,"NA",0)</f>
        <v>NmbINTHarmonizeStaging</v>
      </c>
    </row>
    <row r="15" spans="1:2" x14ac:dyDescent="0.25">
      <c r="A15" t="s">
        <v>68</v>
      </c>
      <c r="B15" t="str">
        <f>_xlfn.XLOOKUP(A15,sheet1!A:A,sheet1!A:A,"NA",0)</f>
        <v>NmbUSAHarmonizeStaging</v>
      </c>
    </row>
    <row r="16" spans="1:2" x14ac:dyDescent="0.25">
      <c r="A16" t="s">
        <v>69</v>
      </c>
      <c r="B16" t="str">
        <f>_xlfn.XLOOKUP(A16,sheet1!A:A,sheet1!A:A,"NA",0)</f>
        <v>NmbWHSHarmonizedStaging</v>
      </c>
    </row>
    <row r="17" spans="1:2" x14ac:dyDescent="0.25">
      <c r="A17" t="s">
        <v>98</v>
      </c>
      <c r="B17" t="str">
        <f>_xlfn.XLOOKUP(A17,sheet1!A:A,sheet1!A:A,"NA",0)</f>
        <v>WHSProductHarmonizedTariffCodeStaging</v>
      </c>
    </row>
    <row r="18" spans="1:2" x14ac:dyDescent="0.25">
      <c r="A18" t="s">
        <v>102</v>
      </c>
      <c r="B18" t="str">
        <f>_xlfn.XLOOKUP(A18,sheet1!A:A,sheet1!A:A,"NA",0)</f>
        <v>NA</v>
      </c>
    </row>
    <row r="19" spans="1:2" x14ac:dyDescent="0.25">
      <c r="A19" t="s">
        <v>3</v>
      </c>
      <c r="B19" t="str">
        <f>_xlfn.XLOOKUP(A19,sheet1!A:A,sheet1!A:A,"NA",0)</f>
        <v>CustCustomerGroupEntityStaging</v>
      </c>
    </row>
    <row r="20" spans="1:2" x14ac:dyDescent="0.25">
      <c r="A20" t="s">
        <v>4</v>
      </c>
      <c r="B20" t="str">
        <f>_xlfn.XLOOKUP(A20,sheet1!A:A,sheet1!A:A,"NA",0)</f>
        <v>CustCustomerV3Staging</v>
      </c>
    </row>
    <row r="21" spans="1:2" x14ac:dyDescent="0.25">
      <c r="A21" t="s">
        <v>5</v>
      </c>
      <c r="B21" t="str">
        <f>_xlfn.XLOOKUP(A21,sheet1!A:A,sheet1!A:A,"NA",0)</f>
        <v>CustElectronicAddressStaging</v>
      </c>
    </row>
    <row r="22" spans="1:2" x14ac:dyDescent="0.25">
      <c r="A22" t="s">
        <v>6</v>
      </c>
      <c r="B22" t="str">
        <f>_xlfn.XLOOKUP(A22,sheet1!A:A,sheet1!A:A,"NA",0)</f>
        <v>CustInvoiceJournalHeaderStaging</v>
      </c>
    </row>
    <row r="23" spans="1:2" x14ac:dyDescent="0.25">
      <c r="A23" t="s">
        <v>7</v>
      </c>
      <c r="B23" t="str">
        <f>_xlfn.XLOOKUP(A23,sheet1!A:A,sheet1!A:A,"NA",0)</f>
        <v>CustInvoiceJournalLineStaging</v>
      </c>
    </row>
    <row r="24" spans="1:2" x14ac:dyDescent="0.25">
      <c r="A24" t="s">
        <v>8</v>
      </c>
      <c r="B24" t="str">
        <f>_xlfn.XLOOKUP(A24,sheet1!A:A,sheet1!A:A,"NA",0)</f>
        <v>CustInvoicePackingSlipQuantityMatchStaging</v>
      </c>
    </row>
    <row r="25" spans="1:2" x14ac:dyDescent="0.25">
      <c r="A25" t="s">
        <v>9</v>
      </c>
      <c r="B25" t="str">
        <f>_xlfn.XLOOKUP(A25,sheet1!A:A,sheet1!A:A,"NA",0)</f>
        <v>CustInvoiceTransStaging</v>
      </c>
    </row>
    <row r="26" spans="1:2" x14ac:dyDescent="0.25">
      <c r="A26" t="s">
        <v>10</v>
      </c>
      <c r="B26" t="str">
        <f>_xlfn.XLOOKUP(A26,sheet1!A:A,sheet1!A:A,"NA",0)</f>
        <v>CustomerAgingDataStorageStaging</v>
      </c>
    </row>
    <row r="27" spans="1:2" x14ac:dyDescent="0.25">
      <c r="A27" t="s">
        <v>11</v>
      </c>
      <c r="B27" t="str">
        <f>_xlfn.XLOOKUP(A27,sheet1!A:A,sheet1!A:A,"NA",0)</f>
        <v>CustomerPaymentJournalLineStaging</v>
      </c>
    </row>
    <row r="28" spans="1:2" x14ac:dyDescent="0.25">
      <c r="A28" t="s">
        <v>12</v>
      </c>
      <c r="B28" t="str">
        <f>_xlfn.XLOOKUP(A28,sheet1!A:A,sheet1!A:A,"NA",0)</f>
        <v>CustPackingSlipTransStaging</v>
      </c>
    </row>
    <row r="29" spans="1:2" x14ac:dyDescent="0.25">
      <c r="A29" t="s">
        <v>28</v>
      </c>
      <c r="B29" t="str">
        <f>_xlfn.XLOOKUP(A29,sheet1!A:A,sheet1!A:A,"NA",0)</f>
        <v>FreeTextInvoiceStaging</v>
      </c>
    </row>
    <row r="30" spans="1:2" x14ac:dyDescent="0.25">
      <c r="A30" t="s">
        <v>31</v>
      </c>
      <c r="B30" t="str">
        <f>_xlfn.XLOOKUP(A30,sheet1!A:A,sheet1!A:A,"NA",0)</f>
        <v>GNLNCustomerInvoiceHeaderChargeStaging</v>
      </c>
    </row>
    <row r="31" spans="1:2" x14ac:dyDescent="0.25">
      <c r="A31" t="s">
        <v>41</v>
      </c>
      <c r="B31" t="str">
        <f>_xlfn.XLOOKUP(A31,sheet1!A:A,sheet1!A:A,"NA",0)</f>
        <v>InventItemPriceStaging</v>
      </c>
    </row>
    <row r="32" spans="1:2" x14ac:dyDescent="0.25">
      <c r="A32" t="s">
        <v>42</v>
      </c>
      <c r="B32" t="str">
        <f>_xlfn.XLOOKUP(A32,sheet1!A:A,sheet1!A:A,"NA",0)</f>
        <v>InventItemPriceV2Staging</v>
      </c>
    </row>
    <row r="33" spans="1:2" x14ac:dyDescent="0.25">
      <c r="A33" t="s">
        <v>52</v>
      </c>
      <c r="B33" t="str">
        <f>_xlfn.XLOOKUP(A33,sheet1!A:A,sheet1!A:A,"NA",0)</f>
        <v>ItemThresholdSetupBySalesChannel_GNLNStaging</v>
      </c>
    </row>
    <row r="34" spans="1:2" x14ac:dyDescent="0.25">
      <c r="A34" t="s">
        <v>74</v>
      </c>
      <c r="B34" t="str">
        <f>_xlfn.XLOOKUP(A34,sheet1!A:A,sheet1!A:A,"NA",0)</f>
        <v>ReturnOrderHeaderStaging</v>
      </c>
    </row>
    <row r="35" spans="1:2" x14ac:dyDescent="0.25">
      <c r="A35" t="s">
        <v>75</v>
      </c>
      <c r="B35" t="str">
        <f>_xlfn.XLOOKUP(A35,sheet1!A:A,sheet1!A:A,"NA",0)</f>
        <v>ReturnOrderLineStaging</v>
      </c>
    </row>
    <row r="36" spans="1:2" x14ac:dyDescent="0.25">
      <c r="A36" t="s">
        <v>76</v>
      </c>
      <c r="B36" t="str">
        <f>_xlfn.XLOOKUP(A36,sheet1!A:A,sheet1!A:A,"NA",0)</f>
        <v>SalesChargeStaging</v>
      </c>
    </row>
    <row r="37" spans="1:2" x14ac:dyDescent="0.25">
      <c r="A37" t="s">
        <v>77</v>
      </c>
      <c r="B37" t="str">
        <f>_xlfn.XLOOKUP(A37,sheet1!A:A,sheet1!A:A,"NA",0)</f>
        <v>SalesInvoiceHeaderV2Staging</v>
      </c>
    </row>
    <row r="38" spans="1:2" x14ac:dyDescent="0.25">
      <c r="A38" t="s">
        <v>78</v>
      </c>
      <c r="B38" t="str">
        <f>_xlfn.XLOOKUP(A38,sheet1!A:A,sheet1!A:A,"NA",0)</f>
        <v>SalesInvoiceLineV3Staging</v>
      </c>
    </row>
    <row r="39" spans="1:2" x14ac:dyDescent="0.25">
      <c r="A39" t="s">
        <v>79</v>
      </c>
      <c r="B39" t="str">
        <f>_xlfn.XLOOKUP(A39,sheet1!A:A,sheet1!A:A,"NA",0)</f>
        <v>SalesLineStaging</v>
      </c>
    </row>
    <row r="40" spans="1:2" x14ac:dyDescent="0.25">
      <c r="A40" t="s">
        <v>80</v>
      </c>
      <c r="B40" t="str">
        <f>_xlfn.XLOOKUP(A40,sheet1!A:A,sheet1!A:A,"NA",0)</f>
        <v>SalesOpenSalesPriceJournalLineV2Staging</v>
      </c>
    </row>
    <row r="41" spans="1:2" x14ac:dyDescent="0.25">
      <c r="A41" t="s">
        <v>81</v>
      </c>
      <c r="B41" t="str">
        <f>_xlfn.XLOOKUP(A41,sheet1!A:A,sheet1!A:A,"NA",0)</f>
        <v>SalesOrderHeaderChargeV2Staging</v>
      </c>
    </row>
    <row r="42" spans="1:2" x14ac:dyDescent="0.25">
      <c r="A42" t="s">
        <v>82</v>
      </c>
      <c r="B42" t="str">
        <f>_xlfn.XLOOKUP(A42,sheet1!A:A,sheet1!A:A,"NA",0)</f>
        <v>SalesOrderHeaderV2Staging</v>
      </c>
    </row>
    <row r="43" spans="1:2" x14ac:dyDescent="0.25">
      <c r="A43" t="s">
        <v>83</v>
      </c>
      <c r="B43" t="str">
        <f>_xlfn.XLOOKUP(A43,sheet1!A:A,sheet1!A:A,"NA",0)</f>
        <v>SalesOrderLineV2Staging</v>
      </c>
    </row>
    <row r="44" spans="1:2" x14ac:dyDescent="0.25">
      <c r="A44" t="s">
        <v>84</v>
      </c>
      <c r="B44" t="str">
        <f>_xlfn.XLOOKUP(A44,sheet1!A:A,sheet1!A:A,"NA",0)</f>
        <v>SalesOrderOriginStaging</v>
      </c>
    </row>
    <row r="45" spans="1:2" x14ac:dyDescent="0.25">
      <c r="A45" t="s">
        <v>85</v>
      </c>
      <c r="B45" t="str">
        <f>_xlfn.XLOOKUP(A45,sheet1!A:A,sheet1!A:A,"NA",0)</f>
        <v>SalesPackingSlipTrackingInformationStaging</v>
      </c>
    </row>
    <row r="46" spans="1:2" x14ac:dyDescent="0.25">
      <c r="A46" t="s">
        <v>86</v>
      </c>
      <c r="B46" t="str">
        <f>_xlfn.XLOOKUP(A46,sheet1!A:A,sheet1!A:A,"NA",0)</f>
        <v>SalesPriceAgreementStaging</v>
      </c>
    </row>
    <row r="47" spans="1:2" x14ac:dyDescent="0.25">
      <c r="A47" t="s">
        <v>87</v>
      </c>
      <c r="B47" t="str">
        <f>_xlfn.XLOOKUP(A47,sheet1!A:A,sheet1!A:A,"NA",0)</f>
        <v>SalesQuotationHeaderV2Staging</v>
      </c>
    </row>
    <row r="48" spans="1:2" x14ac:dyDescent="0.25">
      <c r="A48" t="s">
        <v>88</v>
      </c>
      <c r="B48" t="str">
        <f>_xlfn.XLOOKUP(A48,sheet1!A:A,sheet1!A:A,"NA",0)</f>
        <v>SalesTableStaging</v>
      </c>
    </row>
    <row r="49" spans="1:2" x14ac:dyDescent="0.25">
      <c r="A49" t="s">
        <v>72</v>
      </c>
      <c r="B49" t="str">
        <f>_xlfn.XLOOKUP(A49,sheet1!A:A,sheet1!A:A,"NA",0)</f>
        <v>PurchPurchaseOrderHeaderV2Staging</v>
      </c>
    </row>
    <row r="50" spans="1:2" x14ac:dyDescent="0.25">
      <c r="A50" t="s">
        <v>73</v>
      </c>
      <c r="B50" t="str">
        <f>_xlfn.XLOOKUP(A50,sheet1!A:A,sheet1!A:A,"NA",0)</f>
        <v>PurchPurchaseOrderLineV2Staging</v>
      </c>
    </row>
    <row r="51" spans="1:2" x14ac:dyDescent="0.25">
      <c r="A51" t="s">
        <v>90</v>
      </c>
      <c r="B51" t="str">
        <f>_xlfn.XLOOKUP(A51,sheet1!A:A,sheet1!A:A,"NA",0)</f>
        <v>VendorInvoiceHeaderStaging</v>
      </c>
    </row>
    <row r="52" spans="1:2" x14ac:dyDescent="0.25">
      <c r="A52" t="s">
        <v>91</v>
      </c>
      <c r="B52" t="str">
        <f>_xlfn.XLOOKUP(A52,sheet1!A:A,sheet1!A:A,"NA",0)</f>
        <v>VendorInvoiceLineStaging</v>
      </c>
    </row>
    <row r="53" spans="1:2" x14ac:dyDescent="0.25">
      <c r="A53" t="s">
        <v>92</v>
      </c>
      <c r="B53" t="str">
        <f>_xlfn.XLOOKUP(A53,sheet1!A:A,sheet1!A:A,"NA",0)</f>
        <v>VendorPaymentJournalHeaderStaging</v>
      </c>
    </row>
    <row r="54" spans="1:2" x14ac:dyDescent="0.25">
      <c r="A54" t="s">
        <v>93</v>
      </c>
      <c r="B54" t="str">
        <f>_xlfn.XLOOKUP(A54,sheet1!A:A,sheet1!A:A,"NA",0)</f>
        <v>VendorPaymentJournalLineStaging</v>
      </c>
    </row>
    <row r="55" spans="1:2" x14ac:dyDescent="0.25">
      <c r="A55" t="s">
        <v>94</v>
      </c>
      <c r="B55" t="str">
        <f>_xlfn.XLOOKUP(A55,sheet1!A:A,sheet1!A:A,"NA",0)</f>
        <v>VendProductReceiptHeaderStaging</v>
      </c>
    </row>
    <row r="56" spans="1:2" x14ac:dyDescent="0.25">
      <c r="A56" t="s">
        <v>95</v>
      </c>
      <c r="B56" t="str">
        <f>_xlfn.XLOOKUP(A56,sheet1!A:A,sheet1!A:A,"NA",0)</f>
        <v>VendProductReceiptLineStaging</v>
      </c>
    </row>
    <row r="57" spans="1:2" x14ac:dyDescent="0.25">
      <c r="A57" t="s">
        <v>96</v>
      </c>
      <c r="B57" t="str">
        <f>_xlfn.XLOOKUP(A57,sheet1!A:A,sheet1!A:A,"NA",0)</f>
        <v>VendTransStaging</v>
      </c>
    </row>
    <row r="58" spans="1:2" x14ac:dyDescent="0.25">
      <c r="A58" t="s">
        <v>29</v>
      </c>
      <c r="B58" t="str">
        <f>_xlfn.XLOOKUP(A58,sheet1!A:A,sheet1!A:A,"NA",0)</f>
        <v>GeneralJournalAccountEntryReportingStaging</v>
      </c>
    </row>
    <row r="59" spans="1:2" x14ac:dyDescent="0.25">
      <c r="A59" t="s">
        <v>30</v>
      </c>
      <c r="B59" t="str">
        <f>_xlfn.XLOOKUP(A59,sheet1!A:A,sheet1!A:A,"NA",0)</f>
        <v>GeneralJournalAccountEntryStaging</v>
      </c>
    </row>
    <row r="60" spans="1:2" x14ac:dyDescent="0.25">
      <c r="A60" t="s">
        <v>53</v>
      </c>
      <c r="B60" t="str">
        <f>_xlfn.XLOOKUP(A60,sheet1!A:A,sheet1!A:A,"NA",0)</f>
        <v>MainAccountStaging</v>
      </c>
    </row>
    <row r="61" spans="1:2" x14ac:dyDescent="0.25">
      <c r="A61" t="s">
        <v>54</v>
      </c>
      <c r="B61" t="str">
        <f>_xlfn.XLOOKUP(A61,sheet1!A:A,sheet1!A:A,"NA",0)</f>
        <v>MIT_AccountingDistributionStaging</v>
      </c>
    </row>
    <row r="62" spans="1:2" x14ac:dyDescent="0.25">
      <c r="A62" t="s">
        <v>55</v>
      </c>
      <c r="B62" t="str">
        <f>_xlfn.XLOOKUP(A62,sheet1!A:A,sheet1!A:A,"NA",0)</f>
        <v>MIT_DimensionAttributeLevelValueStaging</v>
      </c>
    </row>
    <row r="63" spans="1:2" x14ac:dyDescent="0.25">
      <c r="A63" t="s">
        <v>56</v>
      </c>
      <c r="B63" t="str">
        <f>_xlfn.XLOOKUP(A63,sheet1!A:A,sheet1!A:A,"NA",0)</f>
        <v>MIT_DIMENSIONATTRIBUTEVALUECOMBINATIONStaging</v>
      </c>
    </row>
    <row r="64" spans="1:2" x14ac:dyDescent="0.25">
      <c r="A64" t="s">
        <v>57</v>
      </c>
      <c r="B64" t="str">
        <f>_xlfn.XLOOKUP(A64,sheet1!A:A,sheet1!A:A,"NA",0)</f>
        <v>MIT_DIMENSIONATTRIBUTEVALUEGROUPCOMBINATIONStaging</v>
      </c>
    </row>
    <row r="65" spans="1:2" x14ac:dyDescent="0.25">
      <c r="A65" t="s">
        <v>58</v>
      </c>
      <c r="B65" t="str">
        <f>_xlfn.XLOOKUP(A65,sheet1!A:A,sheet1!A:A,"NA",0)</f>
        <v>MIT_DimensionAttributeValueGroupStaging</v>
      </c>
    </row>
    <row r="66" spans="1:2" x14ac:dyDescent="0.25">
      <c r="A66" t="s">
        <v>59</v>
      </c>
      <c r="B66" t="str">
        <f>_xlfn.XLOOKUP(A66,sheet1!A:A,sheet1!A:A,"NA",0)</f>
        <v>MIT_DIMENSIONATTRIBUTEVALUESETITEMVIEWStaging</v>
      </c>
    </row>
    <row r="67" spans="1:2" x14ac:dyDescent="0.25">
      <c r="A67" t="s">
        <v>60</v>
      </c>
      <c r="B67" t="str">
        <f>_xlfn.XLOOKUP(A67,sheet1!A:A,sheet1!A:A,"NA",0)</f>
        <v>MIT_DIMENSIONATTRIBUTEVALUESETStaging</v>
      </c>
    </row>
    <row r="68" spans="1:2" x14ac:dyDescent="0.25">
      <c r="A68" t="s">
        <v>61</v>
      </c>
      <c r="B68" t="str">
        <f>_xlfn.XLOOKUP(A68,sheet1!A:A,sheet1!A:A,"NA",0)</f>
        <v>MIT_DIMENSIONHIERARCHYLEVELStaging</v>
      </c>
    </row>
    <row r="69" spans="1:2" x14ac:dyDescent="0.25">
      <c r="A69" t="s">
        <v>62</v>
      </c>
      <c r="B69" t="str">
        <f>_xlfn.XLOOKUP(A69,sheet1!A:A,sheet1!A:A,"NA",0)</f>
        <v>MIT_DIMENSIONHIERARCHYLEVELVIEWStaging</v>
      </c>
    </row>
    <row r="70" spans="1:2" x14ac:dyDescent="0.25">
      <c r="A70" t="s">
        <v>63</v>
      </c>
      <c r="B70" t="str">
        <f>_xlfn.XLOOKUP(A70,sheet1!A:A,sheet1!A:A,"NA",0)</f>
        <v>MIT_DIMENSIONHIERARCHYStaging</v>
      </c>
    </row>
    <row r="71" spans="1:2" x14ac:dyDescent="0.25">
      <c r="A71" t="s">
        <v>64</v>
      </c>
      <c r="B71" t="str">
        <f>_xlfn.XLOOKUP(A71,sheet1!A:A,sheet1!A:A,"NA",0)</f>
        <v>MIT_GeneralJournalEntryStaging</v>
      </c>
    </row>
    <row r="72" spans="1:2" x14ac:dyDescent="0.25">
      <c r="A72" t="s">
        <v>65</v>
      </c>
      <c r="B72" t="str">
        <f>_xlfn.XLOOKUP(A72,sheet1!A:A,sheet1!A:A,"NA",0)</f>
        <v>MIT_InventDimCombinationStaging</v>
      </c>
    </row>
    <row r="73" spans="1:2" x14ac:dyDescent="0.25">
      <c r="A73" t="s">
        <v>1</v>
      </c>
      <c r="B73" t="str">
        <f>_xlfn.XLOOKUP(A73,sheet1!A:A,sheet1!A:A,"NA",0)</f>
        <v>BusinessDocumentTaxTransactionStaging</v>
      </c>
    </row>
    <row r="74" spans="1:2" x14ac:dyDescent="0.25">
      <c r="A74" t="s">
        <v>2</v>
      </c>
      <c r="B74" t="str">
        <f>_xlfn.XLOOKUP(A74,sheet1!A:A,sheet1!A:A,"NA",0)</f>
        <v>CurrencyStaging</v>
      </c>
    </row>
    <row r="75" spans="1:2" x14ac:dyDescent="0.25">
      <c r="A75" t="s">
        <v>13</v>
      </c>
      <c r="B75" t="str">
        <f>_xlfn.XLOOKUP(A75,sheet1!A:A,sheet1!A:A,"NA",0)</f>
        <v>DimensionAttributeStaging</v>
      </c>
    </row>
    <row r="76" spans="1:2" x14ac:dyDescent="0.25">
      <c r="A76" t="s">
        <v>25</v>
      </c>
      <c r="B76" t="str">
        <f>_xlfn.XLOOKUP(A76,sheet1!A:A,sheet1!A:A,"NA",0)</f>
        <v>ExchangeRateEntityStaging</v>
      </c>
    </row>
    <row r="77" spans="1:2" x14ac:dyDescent="0.25">
      <c r="A77" t="s">
        <v>26</v>
      </c>
      <c r="B77" t="str">
        <f>_xlfn.XLOOKUP(A77,sheet1!A:A,sheet1!A:A,"NA",0)</f>
        <v>FinancialDimensionValueEntityStaging</v>
      </c>
    </row>
    <row r="78" spans="1:2" x14ac:dyDescent="0.25">
      <c r="A78" t="s">
        <v>27</v>
      </c>
      <c r="B78" t="str">
        <f>_xlfn.XLOOKUP(A78,sheet1!A:A,sheet1!A:A,"NA",0)</f>
        <v>FiscalPeriodStaging</v>
      </c>
    </row>
    <row r="79" spans="1:2" x14ac:dyDescent="0.25">
      <c r="A79" t="s">
        <v>33</v>
      </c>
      <c r="B79" t="str">
        <f>_xlfn.XLOOKUP(A79,sheet1!A:A,sheet1!A:A,"NA",0)</f>
        <v>GNLNLegalRestrictions_FDD031Staging</v>
      </c>
    </row>
    <row r="80" spans="1:2" x14ac:dyDescent="0.25">
      <c r="A80" t="s">
        <v>34</v>
      </c>
      <c r="B80" t="str">
        <f>_xlfn.XLOOKUP(A80,sheet1!A:A,sheet1!A:A,"NA",0)</f>
        <v>GNLNProductRestrictionTypes_FDD031Staging</v>
      </c>
    </row>
    <row r="81" spans="1:2" x14ac:dyDescent="0.25">
      <c r="A81" t="s">
        <v>35</v>
      </c>
      <c r="B81" t="str">
        <f>_xlfn.XLOOKUP(A81,sheet1!A:A,sheet1!A:A,"NA",0)</f>
        <v>GNLNRestrictionTypes_FDD031Staging</v>
      </c>
    </row>
    <row r="82" spans="1:2" x14ac:dyDescent="0.25">
      <c r="A82" t="s">
        <v>44</v>
      </c>
      <c r="B82" t="str">
        <f>_xlfn.XLOOKUP(A82,sheet1!A:A,sheet1!A:A,"NA",0)</f>
        <v>InventProductGroupStaging</v>
      </c>
    </row>
    <row r="83" spans="1:2" x14ac:dyDescent="0.25">
      <c r="A83" t="s">
        <v>70</v>
      </c>
      <c r="B83" t="str">
        <f>_xlfn.XLOOKUP(A83,sheet1!A:A,sheet1!A:A,"NA",0)</f>
        <v>OMDepartmentV2Staging</v>
      </c>
    </row>
    <row r="84" spans="1:2" x14ac:dyDescent="0.25">
      <c r="A84" t="s">
        <v>71</v>
      </c>
      <c r="B84" t="str">
        <f>_xlfn.XLOOKUP(A84,sheet1!A:A,sheet1!A:A,"NA",0)</f>
        <v>OMLegalStaging</v>
      </c>
    </row>
    <row r="85" spans="1:2" x14ac:dyDescent="0.25">
      <c r="A85" t="s">
        <v>32</v>
      </c>
      <c r="B85" t="str">
        <f>_xlfn.XLOOKUP(A85,sheet1!A:A,sheet1!A:A,"NA",0)</f>
        <v>GNLNCustTransStaging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Nico Banks</cp:lastModifiedBy>
  <dcterms:modified xsi:type="dcterms:W3CDTF">2026-02-06T16:02:14Z</dcterms:modified>
</cp:coreProperties>
</file>